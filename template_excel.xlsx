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esktop\HSE\Báo Cáo Điểm\"/>
    </mc:Choice>
  </mc:AlternateContent>
  <xr:revisionPtr revIDLastSave="0" documentId="13_ncr:1_{347ADBDD-7CB9-4804-9C7D-93B0C16712F5}" xr6:coauthVersionLast="47" xr6:coauthVersionMax="47" xr10:uidLastSave="{00000000-0000-0000-0000-000000000000}"/>
  <bookViews>
    <workbookView xWindow="-108" yWindow="-108" windowWidth="23256" windowHeight="12456" xr2:uid="{7EDB3F53-270C-4BC5-9281-44490103B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I2" i="1"/>
  <c r="AH2" i="1"/>
  <c r="AG2" i="1"/>
  <c r="AF2" i="1"/>
  <c r="AE2" i="1"/>
  <c r="AD2" i="1"/>
  <c r="U2" i="1"/>
  <c r="Q2" i="1"/>
  <c r="X2" i="1" l="1"/>
  <c r="Y2" i="1"/>
</calcChain>
</file>

<file path=xl/sharedStrings.xml><?xml version="1.0" encoding="utf-8"?>
<sst xmlns="http://schemas.openxmlformats.org/spreadsheetml/2006/main" count="38" uniqueCount="37">
  <si>
    <t>Toán</t>
  </si>
  <si>
    <t>Anh văn</t>
  </si>
  <si>
    <t>Lý</t>
  </si>
  <si>
    <t>Hóa</t>
  </si>
  <si>
    <t>Sinh</t>
  </si>
  <si>
    <t>Sử</t>
  </si>
  <si>
    <t>Địa</t>
  </si>
  <si>
    <t>KTPL</t>
  </si>
  <si>
    <t>12DA1</t>
  </si>
  <si>
    <t>Vũ Hoàng Anh</t>
  </si>
  <si>
    <t>13/11/2008</t>
  </si>
  <si>
    <t>STT</t>
  </si>
  <si>
    <t>STT lớp</t>
  </si>
  <si>
    <t>SBD</t>
  </si>
  <si>
    <t>Lớp</t>
  </si>
  <si>
    <t>Họ và Tên</t>
  </si>
  <si>
    <t>Ngày tháng năm sinh</t>
  </si>
  <si>
    <t>Nam/Nữ</t>
  </si>
  <si>
    <t>Điểm TB môn tổ hợp</t>
  </si>
  <si>
    <t>Điểm TB LỚP 10</t>
  </si>
  <si>
    <t>Điểm TB LỚP 11</t>
  </si>
  <si>
    <t>Điểm TB LỚP 12</t>
  </si>
  <si>
    <t>Điểm TB
3 năm học</t>
  </si>
  <si>
    <t>Điểm xét TN</t>
  </si>
  <si>
    <t>Kết quả TN</t>
  </si>
  <si>
    <t>Nơi sinh</t>
  </si>
  <si>
    <t>Dân tộc</t>
  </si>
  <si>
    <t>Số CCCD</t>
  </si>
  <si>
    <t>Số điện thoại</t>
  </si>
  <si>
    <t>L</t>
  </si>
  <si>
    <t>H</t>
  </si>
  <si>
    <t>Si</t>
  </si>
  <si>
    <t>Su</t>
  </si>
  <si>
    <t>Đ</t>
  </si>
  <si>
    <t>Văn</t>
  </si>
  <si>
    <t>Điểm Ưu Tiên</t>
  </si>
  <si>
    <t>Điểm Khuyến Khích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</si>
</sst>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3"/>
      <color rgb="FF000000"/>
      <name val="Calibri"/>
    </font>
    <font>
      <sz val="15"/>
      <color rgb="FF000000"/>
      <name val="Calibri"/>
    </font>
    <font>
      <b/>
      <sz val="13"/>
      <color rgb="FF000000"/>
      <name val="Calibri"/>
    </font>
    <font>
      <b/>
      <sz val="15"/>
      <color rgb="FF000000"/>
      <name val="Calibri"/>
    </font>
    <font>
      <sz val="10"/>
      <color theme="1"/>
      <name val="Arial"/>
    </font>
    <font>
      <sz val="15"/>
      <color rgb="FF000000"/>
      <name val="&quot;Times New Roman&quot;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2"/>
      <color theme="1"/>
      <name val="&quot;Times New Roman&quot;"/>
    </font>
    <font>
      <sz val="13"/>
      <color theme="1"/>
      <name val="Times New Roman"/>
    </font>
    <font>
      <sz val="10"/>
      <color rgb="FF000000"/>
      <name val="&quot;Times New Roman&quot;"/>
    </font>
    <font>
      <sz val="14"/>
      <color rgb="FF333333"/>
      <name val="&quot;Helvetica Neue&quot;"/>
    </font>
    <font>
      <sz val="15"/>
      <color theme="1"/>
      <name val="Aptos Narrow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0" applyFont="1" applyBorder="1"/>
    <xf numFmtId="1" fontId="13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4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7">
    <dxf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1C49-9D65-4427-8909-3E06ED85FC66}">
  <dimension ref="A1:AK521"/>
  <sheetViews>
    <sheetView tabSelected="1" workbookViewId="0">
      <selection activeCell="L4" sqref="L4"/>
    </sheetView>
  </sheetViews>
  <sheetFormatPr defaultColWidth="12.5546875" defaultRowHeight="14.4"/>
  <cols>
    <col min="1" max="1" width="7.33203125" bestFit="1" customWidth="1"/>
    <col min="2" max="2" width="8" customWidth="1"/>
    <col min="3" max="3" width="9.33203125" customWidth="1"/>
    <col min="4" max="4" width="12" customWidth="1"/>
    <col min="5" max="5" width="27" customWidth="1"/>
    <col min="6" max="6" width="15.33203125" customWidth="1"/>
    <col min="7" max="7" width="8.33203125" hidden="1" customWidth="1"/>
    <col min="8" max="13" width="9.33203125" customWidth="1"/>
    <col min="14" max="14" width="9.88671875" customWidth="1"/>
    <col min="15" max="15" width="9.33203125" customWidth="1"/>
    <col min="16" max="16" width="13.88671875" style="28" customWidth="1"/>
    <col min="17" max="17" width="14.33203125" customWidth="1"/>
    <col min="18" max="18" width="13.5546875" style="29" customWidth="1"/>
    <col min="19" max="19" width="11.44140625" customWidth="1"/>
    <col min="20" max="20" width="12.109375" style="29" customWidth="1"/>
    <col min="21" max="21" width="14.44140625" customWidth="1"/>
    <col min="22" max="22" width="10.5546875" customWidth="1"/>
    <col min="23" max="23" width="9.33203125" customWidth="1"/>
    <col min="24" max="24" width="12.33203125" customWidth="1"/>
    <col min="25" max="25" width="8.5546875" customWidth="1"/>
    <col min="26" max="26" width="11.44140625" customWidth="1"/>
    <col min="27" max="27" width="17.6640625" customWidth="1"/>
    <col min="29" max="33" width="5.44140625" customWidth="1"/>
    <col min="34" max="34" width="9.5546875" customWidth="1"/>
  </cols>
  <sheetData>
    <row r="1" spans="1:37" ht="87">
      <c r="A1" s="7" t="s">
        <v>11</v>
      </c>
      <c r="B1" s="30" t="s">
        <v>12</v>
      </c>
      <c r="C1" s="31" t="s">
        <v>13</v>
      </c>
      <c r="D1" s="30" t="s">
        <v>14</v>
      </c>
      <c r="E1" s="7" t="s">
        <v>15</v>
      </c>
      <c r="F1" s="32" t="s">
        <v>16</v>
      </c>
      <c r="G1" s="7" t="s">
        <v>17</v>
      </c>
      <c r="H1" s="7" t="s">
        <v>0</v>
      </c>
      <c r="I1" s="7" t="s">
        <v>34</v>
      </c>
      <c r="J1" s="7" t="s">
        <v>1</v>
      </c>
      <c r="K1" s="7" t="s">
        <v>2</v>
      </c>
      <c r="L1" s="7" t="s">
        <v>3</v>
      </c>
      <c r="M1" s="7" t="s">
        <v>4</v>
      </c>
      <c r="N1" s="7" t="s">
        <v>5</v>
      </c>
      <c r="O1" s="7" t="s">
        <v>6</v>
      </c>
      <c r="P1" s="8" t="s">
        <v>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35</v>
      </c>
      <c r="W1" s="7" t="s">
        <v>36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33"/>
      <c r="AE1" s="33" t="s">
        <v>29</v>
      </c>
      <c r="AF1" s="33" t="s">
        <v>30</v>
      </c>
      <c r="AG1" s="33" t="s">
        <v>31</v>
      </c>
      <c r="AH1" s="33" t="s">
        <v>32</v>
      </c>
      <c r="AI1" s="33" t="s">
        <v>33</v>
      </c>
      <c r="AJ1" s="33" t="s">
        <v>7</v>
      </c>
      <c r="AK1" s="34"/>
    </row>
    <row r="2" spans="1:37" ht="19.2">
      <c r="A2" s="9">
        <v>1</v>
      </c>
      <c r="B2" s="10">
        <v>1</v>
      </c>
      <c r="C2" s="11"/>
      <c r="D2" s="12" t="s">
        <v>8</v>
      </c>
      <c r="E2" s="13" t="s">
        <v>9</v>
      </c>
      <c r="F2" s="12" t="s">
        <v>10</v>
      </c>
      <c r="G2" s="14"/>
      <c r="H2" s="15">
        <v>4.4000000000000004</v>
      </c>
      <c r="I2" s="15">
        <v>4.5</v>
      </c>
      <c r="J2" s="15"/>
      <c r="K2" s="15"/>
      <c r="L2" s="15">
        <v>6</v>
      </c>
      <c r="M2" s="15">
        <v>6.5</v>
      </c>
      <c r="N2" s="15"/>
      <c r="O2" s="15"/>
      <c r="P2" s="16"/>
      <c r="Q2" s="17">
        <f>IFERROR(ROUND(AVERAGE(H2:P2),2), "")</f>
        <v>5.35</v>
      </c>
      <c r="R2" s="18">
        <v>8.1999999999999993</v>
      </c>
      <c r="S2" s="18">
        <v>7.2</v>
      </c>
      <c r="T2" s="19">
        <v>7.9</v>
      </c>
      <c r="U2" s="16">
        <f>(R2 * 1 + S2 * 2 + T2 * 3) / 6</f>
        <v>7.7166666666666677</v>
      </c>
      <c r="V2" s="16"/>
      <c r="W2" s="16"/>
      <c r="X2" s="17">
        <f xml:space="preserve"> (Q2/2) + (U2/2) + W2 +V2</f>
        <v>6.5333333333333332</v>
      </c>
      <c r="Y2" s="3" t="e">
        <f>IF(H2="", "", IF(AND((COUNT(H2:P2) + IF(J2="", 1, 0)) &gt;= 4, SUM(AE2:AJ2)=0, H2&gt;#REF!, I2&gt;1, X2&gt;=5), "ĐẠT", "CĐ"))</f>
        <v>#REF!</v>
      </c>
      <c r="Z2" s="20"/>
      <c r="AA2" s="21"/>
      <c r="AB2" s="22"/>
      <c r="AC2" s="23"/>
      <c r="AD2" s="24" t="str">
        <f t="shared" ref="AD2" si="0">IF(E2="", "", RIGHT(E2,LEN(E2)-FIND("@",SUBSTITUTE(E2," ","@",LEN(E2)-LEN(SUBSTITUTE(E2," ",""))))))</f>
        <v>Anh</v>
      </c>
      <c r="AE2" s="25">
        <f t="shared" ref="AE2:AI2" si="1">IF(AND(K2&lt;&gt;"", K2&lt;=1), 1, 0)</f>
        <v>0</v>
      </c>
      <c r="AF2" s="25">
        <f t="shared" si="1"/>
        <v>0</v>
      </c>
      <c r="AG2" s="25">
        <f t="shared" si="1"/>
        <v>0</v>
      </c>
      <c r="AH2" s="25">
        <f t="shared" si="1"/>
        <v>0</v>
      </c>
      <c r="AI2" s="25">
        <f t="shared" si="1"/>
        <v>0</v>
      </c>
      <c r="AJ2" s="25">
        <f t="shared" ref="AJ2" si="2">IF(AND(IF(ISBLANK(P2),FALSE,TRUE),P2&lt;=1)=TRUE,1,0)</f>
        <v>0</v>
      </c>
    </row>
    <row r="3" spans="1:37" ht="33" customHeight="1">
      <c r="A3" s="2"/>
      <c r="B3" s="3"/>
      <c r="C3" s="4"/>
      <c r="D3" s="5"/>
      <c r="E3" s="2"/>
      <c r="F3" s="5"/>
      <c r="G3" s="2"/>
      <c r="H3" s="2"/>
      <c r="I3" s="2"/>
      <c r="J3" s="2"/>
      <c r="K3" s="2"/>
      <c r="L3" s="2"/>
      <c r="M3" s="2"/>
      <c r="N3" s="2"/>
      <c r="O3" s="2"/>
      <c r="P3" s="6"/>
      <c r="Q3" s="2"/>
      <c r="R3" s="2"/>
      <c r="S3" s="2"/>
      <c r="T3" s="2"/>
      <c r="U3" s="2"/>
      <c r="V3" s="2"/>
      <c r="W3" s="2"/>
      <c r="X3" s="1"/>
    </row>
    <row r="4" spans="1:37" ht="33" customHeight="1">
      <c r="B4" s="26"/>
      <c r="C4" s="27"/>
      <c r="D4" s="1"/>
      <c r="F4" s="1"/>
      <c r="X4" s="1"/>
    </row>
    <row r="5" spans="1:37" ht="33" customHeight="1">
      <c r="B5" s="26"/>
      <c r="C5" s="27"/>
      <c r="D5" s="1"/>
      <c r="F5" s="1"/>
      <c r="X5" s="1"/>
    </row>
    <row r="6" spans="1:37" ht="33" customHeight="1">
      <c r="B6" s="26"/>
      <c r="C6" s="27"/>
      <c r="D6" s="1"/>
      <c r="F6" s="1"/>
      <c r="X6" s="1"/>
    </row>
    <row r="7" spans="1:37" ht="33" customHeight="1">
      <c r="B7" s="26"/>
      <c r="C7" s="27"/>
      <c r="D7" s="1"/>
      <c r="F7" s="1"/>
      <c r="X7" s="1"/>
    </row>
    <row r="8" spans="1:37" ht="33" customHeight="1">
      <c r="B8" s="26"/>
      <c r="C8" s="27"/>
      <c r="D8" s="1"/>
      <c r="F8" s="1"/>
      <c r="X8" s="1"/>
    </row>
    <row r="9" spans="1:37" ht="33" customHeight="1">
      <c r="B9" s="26"/>
      <c r="C9" s="27"/>
      <c r="D9" s="1"/>
      <c r="F9" s="1"/>
      <c r="X9" s="1"/>
    </row>
    <row r="10" spans="1:37" ht="33" customHeight="1">
      <c r="B10" s="26"/>
      <c r="C10" s="27"/>
      <c r="D10" s="1"/>
      <c r="F10" s="1"/>
      <c r="X10" s="1"/>
    </row>
    <row r="11" spans="1:37" ht="33" customHeight="1">
      <c r="B11" s="26"/>
      <c r="C11" s="27"/>
      <c r="D11" s="1"/>
      <c r="F11" s="1"/>
      <c r="X11" s="1"/>
    </row>
    <row r="12" spans="1:37" ht="33" customHeight="1">
      <c r="B12" s="26"/>
      <c r="C12" s="27"/>
      <c r="D12" s="1"/>
      <c r="F12" s="1"/>
      <c r="X12" s="1"/>
    </row>
    <row r="13" spans="1:37" ht="33" customHeight="1">
      <c r="B13" s="26"/>
      <c r="C13" s="27"/>
      <c r="D13" s="1"/>
      <c r="F13" s="1"/>
      <c r="X13" s="1"/>
    </row>
    <row r="14" spans="1:37" ht="33" customHeight="1">
      <c r="B14" s="26"/>
      <c r="C14" s="27"/>
      <c r="D14" s="1"/>
      <c r="F14" s="1"/>
      <c r="X14" s="1"/>
    </row>
    <row r="15" spans="1:37" ht="33" customHeight="1">
      <c r="B15" s="26"/>
      <c r="C15" s="27"/>
      <c r="D15" s="1"/>
      <c r="F15" s="1"/>
      <c r="X15" s="1"/>
    </row>
    <row r="16" spans="1:37" ht="33" customHeight="1">
      <c r="B16" s="26"/>
      <c r="C16" s="27"/>
      <c r="D16" s="1"/>
      <c r="F16" s="1"/>
      <c r="X16" s="1"/>
    </row>
    <row r="17" spans="2:24" ht="33" customHeight="1">
      <c r="B17" s="26"/>
      <c r="C17" s="27"/>
      <c r="D17" s="1"/>
      <c r="F17" s="1"/>
      <c r="X17" s="1"/>
    </row>
    <row r="18" spans="2:24" ht="33" customHeight="1">
      <c r="B18" s="26"/>
      <c r="C18" s="27"/>
      <c r="D18" s="1"/>
      <c r="F18" s="1"/>
      <c r="X18" s="1"/>
    </row>
    <row r="19" spans="2:24" ht="33" customHeight="1">
      <c r="B19" s="26"/>
      <c r="C19" s="27"/>
      <c r="D19" s="1"/>
      <c r="F19" s="1"/>
      <c r="X19" s="1"/>
    </row>
    <row r="20" spans="2:24" ht="33" customHeight="1">
      <c r="B20" s="26"/>
      <c r="C20" s="27"/>
      <c r="D20" s="1"/>
      <c r="F20" s="1"/>
      <c r="X20" s="1"/>
    </row>
    <row r="21" spans="2:24" ht="33" customHeight="1">
      <c r="B21" s="26"/>
      <c r="C21" s="27"/>
      <c r="D21" s="1"/>
      <c r="F21" s="1"/>
      <c r="X21" s="1"/>
    </row>
    <row r="22" spans="2:24" ht="33" customHeight="1">
      <c r="B22" s="26"/>
      <c r="C22" s="27"/>
      <c r="D22" s="1"/>
      <c r="F22" s="1"/>
      <c r="X22" s="1"/>
    </row>
    <row r="23" spans="2:24" ht="33" customHeight="1">
      <c r="B23" s="26"/>
      <c r="C23" s="27"/>
      <c r="D23" s="1"/>
      <c r="F23" s="1"/>
      <c r="X23" s="1"/>
    </row>
    <row r="24" spans="2:24" ht="33" customHeight="1">
      <c r="B24" s="26"/>
      <c r="C24" s="27"/>
      <c r="D24" s="1"/>
      <c r="F24" s="1"/>
      <c r="X24" s="1"/>
    </row>
    <row r="25" spans="2:24" ht="33" customHeight="1">
      <c r="B25" s="26"/>
      <c r="C25" s="27"/>
      <c r="D25" s="1"/>
      <c r="F25" s="1"/>
      <c r="X25" s="1"/>
    </row>
    <row r="26" spans="2:24" ht="33" customHeight="1">
      <c r="B26" s="26"/>
      <c r="C26" s="27"/>
      <c r="D26" s="1"/>
      <c r="F26" s="1"/>
      <c r="X26" s="1"/>
    </row>
    <row r="27" spans="2:24" ht="33" customHeight="1">
      <c r="B27" s="26"/>
      <c r="C27" s="27"/>
      <c r="D27" s="1"/>
      <c r="F27" s="1"/>
      <c r="X27" s="1"/>
    </row>
    <row r="28" spans="2:24" ht="33" customHeight="1">
      <c r="B28" s="26"/>
      <c r="C28" s="27"/>
      <c r="D28" s="1"/>
      <c r="F28" s="1"/>
      <c r="X28" s="1"/>
    </row>
    <row r="29" spans="2:24" ht="33" customHeight="1">
      <c r="B29" s="26"/>
      <c r="C29" s="27"/>
      <c r="D29" s="1"/>
      <c r="F29" s="1"/>
      <c r="X29" s="1"/>
    </row>
    <row r="30" spans="2:24" ht="33" customHeight="1">
      <c r="B30" s="26"/>
      <c r="C30" s="27"/>
      <c r="D30" s="1"/>
      <c r="F30" s="1"/>
      <c r="X30" s="1"/>
    </row>
    <row r="31" spans="2:24" ht="33" customHeight="1">
      <c r="B31" s="26"/>
      <c r="C31" s="27"/>
      <c r="D31" s="1"/>
      <c r="F31" s="1"/>
      <c r="X31" s="1"/>
    </row>
    <row r="32" spans="2:24" ht="33" customHeight="1">
      <c r="B32" s="26"/>
      <c r="C32" s="27"/>
      <c r="D32" s="1"/>
      <c r="F32" s="1"/>
      <c r="X32" s="1"/>
    </row>
    <row r="33" spans="2:24" ht="33" customHeight="1">
      <c r="B33" s="26"/>
      <c r="C33" s="27"/>
      <c r="D33" s="1"/>
      <c r="F33" s="1"/>
      <c r="X33" s="1"/>
    </row>
    <row r="34" spans="2:24" ht="33" customHeight="1">
      <c r="B34" s="26"/>
      <c r="C34" s="27"/>
      <c r="D34" s="1"/>
      <c r="F34" s="1"/>
      <c r="X34" s="1"/>
    </row>
    <row r="35" spans="2:24" ht="33" customHeight="1">
      <c r="B35" s="26"/>
      <c r="C35" s="27"/>
      <c r="D35" s="1"/>
      <c r="F35" s="1"/>
      <c r="X35" s="1"/>
    </row>
    <row r="36" spans="2:24" ht="33" customHeight="1">
      <c r="B36" s="26"/>
      <c r="C36" s="27"/>
      <c r="D36" s="1"/>
      <c r="F36" s="1"/>
      <c r="X36" s="1"/>
    </row>
    <row r="37" spans="2:24" ht="33" customHeight="1">
      <c r="B37" s="26"/>
      <c r="C37" s="27"/>
      <c r="D37" s="1"/>
      <c r="F37" s="1"/>
      <c r="X37" s="1"/>
    </row>
    <row r="38" spans="2:24" ht="33" customHeight="1">
      <c r="B38" s="26"/>
      <c r="C38" s="27"/>
      <c r="D38" s="1"/>
      <c r="F38" s="1"/>
      <c r="X38" s="1"/>
    </row>
    <row r="39" spans="2:24" ht="33" customHeight="1">
      <c r="B39" s="26"/>
      <c r="C39" s="27"/>
      <c r="D39" s="1"/>
      <c r="F39" s="1"/>
      <c r="X39" s="1"/>
    </row>
    <row r="40" spans="2:24" ht="33" customHeight="1">
      <c r="B40" s="26"/>
      <c r="C40" s="27"/>
      <c r="D40" s="1"/>
      <c r="F40" s="1"/>
      <c r="X40" s="1"/>
    </row>
    <row r="41" spans="2:24" ht="33" customHeight="1">
      <c r="B41" s="26"/>
      <c r="C41" s="27"/>
      <c r="D41" s="1"/>
      <c r="F41" s="1"/>
      <c r="X41" s="1"/>
    </row>
    <row r="42" spans="2:24" ht="33" customHeight="1">
      <c r="B42" s="26"/>
      <c r="C42" s="27"/>
      <c r="D42" s="1"/>
      <c r="F42" s="1"/>
      <c r="X42" s="1"/>
    </row>
    <row r="43" spans="2:24" ht="33" customHeight="1">
      <c r="B43" s="26"/>
      <c r="C43" s="27"/>
      <c r="D43" s="1"/>
      <c r="F43" s="1"/>
      <c r="X43" s="1"/>
    </row>
    <row r="44" spans="2:24" ht="33" customHeight="1">
      <c r="B44" s="26"/>
      <c r="C44" s="27"/>
      <c r="D44" s="1"/>
      <c r="F44" s="1"/>
      <c r="X44" s="1"/>
    </row>
    <row r="45" spans="2:24" ht="33" customHeight="1">
      <c r="B45" s="26"/>
      <c r="C45" s="27"/>
      <c r="D45" s="1"/>
      <c r="F45" s="1"/>
      <c r="X45" s="1"/>
    </row>
    <row r="46" spans="2:24" ht="33" customHeight="1">
      <c r="B46" s="26"/>
      <c r="C46" s="27"/>
      <c r="D46" s="1"/>
      <c r="F46" s="1"/>
      <c r="X46" s="1"/>
    </row>
    <row r="47" spans="2:24" ht="33" customHeight="1">
      <c r="B47" s="26"/>
      <c r="C47" s="27"/>
      <c r="D47" s="1"/>
      <c r="F47" s="1"/>
      <c r="X47" s="1"/>
    </row>
    <row r="48" spans="2:24" ht="33" customHeight="1">
      <c r="B48" s="26"/>
      <c r="C48" s="27"/>
      <c r="D48" s="1"/>
      <c r="F48" s="1"/>
      <c r="X48" s="1"/>
    </row>
    <row r="49" spans="2:24" ht="33" customHeight="1">
      <c r="B49" s="26"/>
      <c r="C49" s="27"/>
      <c r="D49" s="1"/>
      <c r="F49" s="1"/>
      <c r="X49" s="1"/>
    </row>
    <row r="50" spans="2:24" ht="33" customHeight="1">
      <c r="B50" s="26"/>
      <c r="C50" s="27"/>
      <c r="D50" s="1"/>
      <c r="F50" s="1"/>
      <c r="X50" s="1"/>
    </row>
    <row r="51" spans="2:24" ht="33" customHeight="1">
      <c r="B51" s="26"/>
      <c r="C51" s="27"/>
      <c r="D51" s="1"/>
      <c r="F51" s="1"/>
      <c r="X51" s="1"/>
    </row>
    <row r="52" spans="2:24" ht="33" customHeight="1">
      <c r="B52" s="26"/>
      <c r="C52" s="27"/>
      <c r="D52" s="1"/>
      <c r="F52" s="1"/>
      <c r="X52" s="1"/>
    </row>
    <row r="53" spans="2:24" ht="33" customHeight="1">
      <c r="B53" s="26"/>
      <c r="C53" s="27"/>
      <c r="D53" s="1"/>
      <c r="F53" s="1"/>
      <c r="X53" s="1"/>
    </row>
    <row r="54" spans="2:24" ht="33" customHeight="1">
      <c r="B54" s="26"/>
      <c r="C54" s="27"/>
      <c r="D54" s="1"/>
      <c r="F54" s="1"/>
      <c r="X54" s="1"/>
    </row>
    <row r="55" spans="2:24" ht="33" customHeight="1">
      <c r="B55" s="26"/>
      <c r="C55" s="27"/>
      <c r="D55" s="1"/>
      <c r="F55" s="1"/>
      <c r="X55" s="1"/>
    </row>
    <row r="56" spans="2:24" ht="33" customHeight="1">
      <c r="B56" s="26"/>
      <c r="C56" s="27"/>
      <c r="D56" s="1"/>
      <c r="F56" s="1"/>
      <c r="X56" s="1"/>
    </row>
    <row r="57" spans="2:24" ht="33" customHeight="1">
      <c r="B57" s="26"/>
      <c r="C57" s="27"/>
      <c r="D57" s="1"/>
      <c r="F57" s="1"/>
      <c r="X57" s="1"/>
    </row>
    <row r="58" spans="2:24" ht="33" customHeight="1">
      <c r="B58" s="26"/>
      <c r="C58" s="27"/>
      <c r="D58" s="1"/>
      <c r="F58" s="1"/>
      <c r="X58" s="1"/>
    </row>
    <row r="59" spans="2:24" ht="33" customHeight="1">
      <c r="B59" s="26"/>
      <c r="C59" s="27"/>
      <c r="D59" s="1"/>
      <c r="F59" s="1"/>
      <c r="X59" s="1"/>
    </row>
    <row r="60" spans="2:24" ht="33" customHeight="1">
      <c r="B60" s="26"/>
      <c r="C60" s="27"/>
      <c r="D60" s="1"/>
      <c r="F60" s="1"/>
      <c r="X60" s="1"/>
    </row>
    <row r="61" spans="2:24" ht="33" customHeight="1">
      <c r="B61" s="26"/>
      <c r="C61" s="27"/>
      <c r="D61" s="1"/>
      <c r="F61" s="1"/>
      <c r="X61" s="1"/>
    </row>
    <row r="62" spans="2:24" ht="33" customHeight="1">
      <c r="B62" s="26"/>
      <c r="C62" s="27"/>
      <c r="D62" s="1"/>
      <c r="F62" s="1"/>
      <c r="X62" s="1"/>
    </row>
    <row r="63" spans="2:24" ht="33" customHeight="1">
      <c r="B63" s="26"/>
      <c r="C63" s="27"/>
      <c r="D63" s="1"/>
      <c r="F63" s="1"/>
      <c r="X63" s="1"/>
    </row>
    <row r="64" spans="2:24" ht="33" customHeight="1">
      <c r="B64" s="26"/>
      <c r="C64" s="27"/>
      <c r="D64" s="1"/>
      <c r="F64" s="1"/>
      <c r="X64" s="1"/>
    </row>
    <row r="65" spans="2:24" ht="33" customHeight="1">
      <c r="B65" s="26"/>
      <c r="C65" s="27"/>
      <c r="D65" s="1"/>
      <c r="F65" s="1"/>
      <c r="X65" s="1"/>
    </row>
    <row r="66" spans="2:24" ht="33" customHeight="1">
      <c r="B66" s="26"/>
      <c r="C66" s="27"/>
      <c r="D66" s="1"/>
      <c r="F66" s="1"/>
      <c r="X66" s="1"/>
    </row>
    <row r="67" spans="2:24" ht="33" customHeight="1">
      <c r="B67" s="26"/>
      <c r="C67" s="27"/>
      <c r="D67" s="1"/>
      <c r="F67" s="1"/>
      <c r="X67" s="1"/>
    </row>
    <row r="68" spans="2:24" ht="33" customHeight="1">
      <c r="B68" s="26"/>
      <c r="C68" s="27"/>
      <c r="D68" s="1"/>
      <c r="F68" s="1"/>
      <c r="X68" s="1"/>
    </row>
    <row r="69" spans="2:24" ht="33" customHeight="1">
      <c r="B69" s="26"/>
      <c r="C69" s="27"/>
      <c r="D69" s="1"/>
      <c r="F69" s="1"/>
      <c r="X69" s="1"/>
    </row>
    <row r="70" spans="2:24" ht="33" customHeight="1">
      <c r="B70" s="26"/>
      <c r="C70" s="27"/>
      <c r="D70" s="1"/>
      <c r="F70" s="1"/>
      <c r="X70" s="1"/>
    </row>
    <row r="71" spans="2:24" ht="33" customHeight="1">
      <c r="B71" s="26"/>
      <c r="C71" s="27"/>
      <c r="D71" s="1"/>
      <c r="F71" s="1"/>
      <c r="X71" s="1"/>
    </row>
    <row r="72" spans="2:24" ht="33" customHeight="1">
      <c r="B72" s="26"/>
      <c r="C72" s="27"/>
      <c r="D72" s="1"/>
      <c r="F72" s="1"/>
      <c r="X72" s="1"/>
    </row>
    <row r="73" spans="2:24" ht="33" customHeight="1">
      <c r="B73" s="26"/>
      <c r="C73" s="27"/>
      <c r="D73" s="1"/>
      <c r="F73" s="1"/>
      <c r="X73" s="1"/>
    </row>
    <row r="74" spans="2:24" ht="33" customHeight="1">
      <c r="B74" s="26"/>
      <c r="C74" s="27"/>
      <c r="D74" s="1"/>
      <c r="F74" s="1"/>
      <c r="X74" s="1"/>
    </row>
    <row r="75" spans="2:24" ht="33" customHeight="1">
      <c r="B75" s="26"/>
      <c r="C75" s="27"/>
      <c r="D75" s="1"/>
      <c r="F75" s="1"/>
      <c r="X75" s="1"/>
    </row>
    <row r="76" spans="2:24" ht="33" customHeight="1">
      <c r="B76" s="26"/>
      <c r="C76" s="27"/>
      <c r="D76" s="1"/>
      <c r="F76" s="1"/>
      <c r="X76" s="1"/>
    </row>
    <row r="77" spans="2:24" ht="33" customHeight="1">
      <c r="B77" s="26"/>
      <c r="C77" s="27"/>
      <c r="D77" s="1"/>
      <c r="F77" s="1"/>
      <c r="X77" s="1"/>
    </row>
    <row r="78" spans="2:24" ht="33" customHeight="1">
      <c r="B78" s="26"/>
      <c r="C78" s="27"/>
      <c r="D78" s="1"/>
      <c r="F78" s="1"/>
      <c r="X78" s="1"/>
    </row>
    <row r="79" spans="2:24" ht="33" customHeight="1">
      <c r="B79" s="26"/>
      <c r="C79" s="27"/>
      <c r="D79" s="1"/>
      <c r="F79" s="1"/>
      <c r="X79" s="1"/>
    </row>
    <row r="80" spans="2:24" ht="33" customHeight="1">
      <c r="B80" s="26"/>
      <c r="C80" s="27"/>
      <c r="D80" s="1"/>
      <c r="F80" s="1"/>
      <c r="X80" s="1"/>
    </row>
    <row r="81" spans="2:24" ht="33" customHeight="1">
      <c r="B81" s="26"/>
      <c r="C81" s="27"/>
      <c r="D81" s="1"/>
      <c r="F81" s="1"/>
      <c r="X81" s="1"/>
    </row>
    <row r="82" spans="2:24" ht="33" customHeight="1">
      <c r="B82" s="26"/>
      <c r="C82" s="27"/>
      <c r="D82" s="1"/>
      <c r="F82" s="1"/>
      <c r="X82" s="1"/>
    </row>
    <row r="83" spans="2:24" ht="33" customHeight="1">
      <c r="B83" s="26"/>
      <c r="C83" s="27"/>
      <c r="D83" s="1"/>
      <c r="F83" s="1"/>
      <c r="X83" s="1"/>
    </row>
    <row r="84" spans="2:24" ht="19.8">
      <c r="B84" s="26"/>
      <c r="C84" s="27"/>
      <c r="D84" s="1"/>
      <c r="F84" s="1"/>
      <c r="X84" s="1"/>
    </row>
    <row r="85" spans="2:24" ht="19.8">
      <c r="B85" s="26"/>
      <c r="C85" s="27"/>
      <c r="D85" s="1"/>
      <c r="F85" s="1"/>
      <c r="X85" s="1"/>
    </row>
    <row r="86" spans="2:24" ht="19.8">
      <c r="B86" s="26"/>
      <c r="C86" s="27"/>
      <c r="D86" s="1"/>
      <c r="F86" s="1"/>
      <c r="X86" s="1"/>
    </row>
    <row r="87" spans="2:24" ht="19.8">
      <c r="B87" s="26"/>
      <c r="C87" s="27"/>
      <c r="D87" s="1"/>
      <c r="F87" s="1"/>
      <c r="X87" s="1"/>
    </row>
    <row r="88" spans="2:24" ht="19.8">
      <c r="B88" s="26"/>
      <c r="C88" s="27"/>
      <c r="D88" s="1"/>
      <c r="F88" s="1"/>
      <c r="X88" s="1"/>
    </row>
    <row r="89" spans="2:24" ht="19.8">
      <c r="B89" s="26"/>
      <c r="C89" s="27"/>
      <c r="D89" s="1"/>
      <c r="F89" s="1"/>
      <c r="X89" s="1"/>
    </row>
    <row r="90" spans="2:24" ht="19.8">
      <c r="B90" s="26"/>
      <c r="C90" s="27"/>
      <c r="D90" s="1"/>
      <c r="F90" s="1"/>
      <c r="X90" s="1"/>
    </row>
    <row r="91" spans="2:24" ht="19.8">
      <c r="B91" s="26"/>
      <c r="C91" s="27"/>
      <c r="D91" s="1"/>
      <c r="F91" s="1"/>
      <c r="X91" s="1"/>
    </row>
    <row r="92" spans="2:24" ht="19.8">
      <c r="B92" s="26"/>
      <c r="C92" s="27"/>
      <c r="D92" s="1"/>
      <c r="F92" s="1"/>
      <c r="X92" s="1"/>
    </row>
    <row r="93" spans="2:24" ht="19.8">
      <c r="B93" s="26"/>
      <c r="C93" s="27"/>
      <c r="D93" s="1"/>
      <c r="F93" s="1"/>
      <c r="X93" s="1"/>
    </row>
    <row r="94" spans="2:24" ht="19.8">
      <c r="B94" s="26"/>
      <c r="C94" s="27"/>
      <c r="D94" s="1"/>
      <c r="F94" s="1"/>
      <c r="X94" s="1"/>
    </row>
    <row r="95" spans="2:24" ht="19.8">
      <c r="B95" s="26"/>
      <c r="C95" s="27"/>
      <c r="D95" s="1"/>
      <c r="F95" s="1"/>
      <c r="X95" s="1"/>
    </row>
    <row r="96" spans="2:24" ht="19.8">
      <c r="B96" s="26"/>
      <c r="C96" s="27"/>
      <c r="D96" s="1"/>
      <c r="F96" s="1"/>
      <c r="X96" s="1"/>
    </row>
    <row r="97" spans="2:24" ht="19.8">
      <c r="B97" s="26"/>
      <c r="C97" s="27"/>
      <c r="D97" s="1"/>
      <c r="F97" s="1"/>
      <c r="X97" s="1"/>
    </row>
    <row r="98" spans="2:24" ht="19.8">
      <c r="B98" s="26"/>
      <c r="C98" s="27"/>
      <c r="D98" s="1"/>
      <c r="F98" s="1"/>
      <c r="X98" s="1"/>
    </row>
    <row r="99" spans="2:24" ht="19.8">
      <c r="B99" s="26"/>
      <c r="C99" s="27"/>
      <c r="D99" s="1"/>
      <c r="F99" s="1"/>
      <c r="X99" s="1"/>
    </row>
    <row r="100" spans="2:24" ht="19.8">
      <c r="B100" s="26"/>
      <c r="C100" s="27"/>
      <c r="D100" s="1"/>
      <c r="F100" s="1"/>
      <c r="X100" s="1"/>
    </row>
    <row r="101" spans="2:24" ht="19.8">
      <c r="B101" s="26"/>
      <c r="C101" s="27"/>
      <c r="D101" s="1"/>
      <c r="F101" s="1"/>
      <c r="X101" s="1"/>
    </row>
    <row r="102" spans="2:24" ht="19.8">
      <c r="B102" s="26"/>
      <c r="C102" s="27"/>
      <c r="D102" s="1"/>
      <c r="F102" s="1"/>
      <c r="X102" s="1"/>
    </row>
    <row r="103" spans="2:24" ht="19.8">
      <c r="B103" s="26"/>
      <c r="C103" s="27"/>
      <c r="D103" s="1"/>
      <c r="F103" s="1"/>
      <c r="X103" s="1"/>
    </row>
    <row r="104" spans="2:24" ht="19.8">
      <c r="B104" s="26"/>
      <c r="C104" s="27"/>
      <c r="D104" s="1"/>
      <c r="F104" s="1"/>
      <c r="X104" s="1"/>
    </row>
    <row r="105" spans="2:24" ht="19.8">
      <c r="B105" s="26"/>
      <c r="C105" s="27"/>
      <c r="D105" s="1"/>
      <c r="F105" s="1"/>
      <c r="X105" s="1"/>
    </row>
    <row r="106" spans="2:24" ht="19.8">
      <c r="B106" s="26"/>
      <c r="C106" s="27"/>
      <c r="D106" s="1"/>
      <c r="F106" s="1"/>
      <c r="X106" s="1"/>
    </row>
    <row r="107" spans="2:24" ht="19.8">
      <c r="B107" s="26"/>
      <c r="C107" s="27"/>
      <c r="D107" s="1"/>
      <c r="F107" s="1"/>
      <c r="X107" s="1"/>
    </row>
    <row r="108" spans="2:24" ht="19.8">
      <c r="B108" s="26"/>
      <c r="C108" s="27"/>
      <c r="D108" s="1"/>
      <c r="F108" s="1"/>
      <c r="X108" s="1"/>
    </row>
    <row r="109" spans="2:24" ht="19.8">
      <c r="B109" s="26"/>
      <c r="C109" s="27"/>
      <c r="D109" s="1"/>
      <c r="F109" s="1"/>
      <c r="X109" s="1"/>
    </row>
    <row r="110" spans="2:24" ht="19.8">
      <c r="B110" s="26"/>
      <c r="C110" s="27"/>
      <c r="D110" s="1"/>
      <c r="F110" s="1"/>
      <c r="X110" s="1"/>
    </row>
    <row r="111" spans="2:24" ht="19.8">
      <c r="B111" s="26"/>
      <c r="C111" s="27"/>
      <c r="D111" s="1"/>
      <c r="F111" s="1"/>
      <c r="X111" s="1"/>
    </row>
    <row r="112" spans="2:24" ht="19.8">
      <c r="B112" s="26"/>
      <c r="C112" s="27"/>
      <c r="D112" s="1"/>
      <c r="F112" s="1"/>
      <c r="X112" s="1"/>
    </row>
    <row r="113" spans="2:24" ht="19.8">
      <c r="B113" s="26"/>
      <c r="C113" s="27"/>
      <c r="D113" s="1"/>
      <c r="F113" s="1"/>
      <c r="X113" s="1"/>
    </row>
    <row r="114" spans="2:24" ht="19.8">
      <c r="B114" s="26"/>
      <c r="C114" s="27"/>
      <c r="D114" s="1"/>
      <c r="F114" s="1"/>
      <c r="X114" s="1"/>
    </row>
    <row r="115" spans="2:24" ht="19.8">
      <c r="B115" s="26"/>
      <c r="C115" s="27"/>
      <c r="D115" s="1"/>
      <c r="F115" s="1"/>
      <c r="X115" s="1"/>
    </row>
    <row r="116" spans="2:24" ht="19.8">
      <c r="B116" s="26"/>
      <c r="C116" s="27"/>
      <c r="D116" s="1"/>
      <c r="F116" s="1"/>
      <c r="X116" s="1"/>
    </row>
    <row r="117" spans="2:24" ht="19.8">
      <c r="B117" s="26"/>
      <c r="C117" s="27"/>
      <c r="D117" s="1"/>
      <c r="F117" s="1"/>
      <c r="X117" s="1"/>
    </row>
    <row r="118" spans="2:24" ht="19.8">
      <c r="B118" s="26"/>
      <c r="C118" s="27"/>
      <c r="D118" s="1"/>
      <c r="F118" s="1"/>
      <c r="X118" s="1"/>
    </row>
    <row r="119" spans="2:24" ht="19.8">
      <c r="B119" s="26"/>
      <c r="C119" s="27"/>
      <c r="D119" s="1"/>
      <c r="F119" s="1"/>
      <c r="X119" s="1"/>
    </row>
    <row r="120" spans="2:24" ht="19.8">
      <c r="B120" s="26"/>
      <c r="C120" s="27"/>
      <c r="D120" s="1"/>
      <c r="F120" s="1"/>
      <c r="X120" s="1"/>
    </row>
    <row r="121" spans="2:24" ht="19.8">
      <c r="B121" s="26"/>
      <c r="C121" s="27"/>
      <c r="D121" s="1"/>
      <c r="F121" s="1"/>
      <c r="X121" s="1"/>
    </row>
    <row r="122" spans="2:24" ht="19.8">
      <c r="B122" s="26"/>
      <c r="C122" s="27"/>
      <c r="D122" s="1"/>
      <c r="F122" s="1"/>
      <c r="X122" s="1"/>
    </row>
    <row r="123" spans="2:24" ht="19.8">
      <c r="B123" s="26"/>
      <c r="C123" s="27"/>
      <c r="D123" s="1"/>
      <c r="F123" s="1"/>
      <c r="X123" s="1"/>
    </row>
    <row r="124" spans="2:24" ht="19.8">
      <c r="B124" s="26"/>
      <c r="C124" s="27"/>
      <c r="D124" s="1"/>
      <c r="F124" s="1"/>
      <c r="X124" s="1"/>
    </row>
    <row r="125" spans="2:24" ht="19.8">
      <c r="B125" s="26"/>
      <c r="C125" s="27"/>
      <c r="D125" s="1"/>
      <c r="F125" s="1"/>
      <c r="X125" s="1"/>
    </row>
    <row r="126" spans="2:24" ht="19.8">
      <c r="B126" s="26"/>
      <c r="C126" s="27"/>
      <c r="D126" s="1"/>
      <c r="F126" s="1"/>
      <c r="X126" s="1"/>
    </row>
    <row r="127" spans="2:24" ht="19.8">
      <c r="B127" s="26"/>
      <c r="C127" s="27"/>
      <c r="D127" s="1"/>
      <c r="F127" s="1"/>
      <c r="X127" s="1"/>
    </row>
    <row r="128" spans="2:24" ht="19.8">
      <c r="B128" s="26"/>
      <c r="C128" s="27"/>
      <c r="D128" s="1"/>
      <c r="F128" s="1"/>
      <c r="X128" s="1"/>
    </row>
    <row r="129" spans="2:24" ht="19.8">
      <c r="B129" s="26"/>
      <c r="C129" s="27"/>
      <c r="D129" s="1"/>
      <c r="F129" s="1"/>
      <c r="X129" s="1"/>
    </row>
    <row r="130" spans="2:24" ht="19.8">
      <c r="B130" s="26"/>
      <c r="C130" s="27"/>
      <c r="D130" s="1"/>
      <c r="F130" s="1"/>
      <c r="X130" s="1"/>
    </row>
    <row r="131" spans="2:24" ht="19.8">
      <c r="B131" s="26"/>
      <c r="C131" s="27"/>
      <c r="D131" s="1"/>
      <c r="F131" s="1"/>
      <c r="X131" s="1"/>
    </row>
    <row r="132" spans="2:24" ht="19.8">
      <c r="B132" s="26"/>
      <c r="C132" s="27"/>
      <c r="D132" s="1"/>
      <c r="F132" s="1"/>
      <c r="X132" s="1"/>
    </row>
    <row r="133" spans="2:24" ht="19.8">
      <c r="B133" s="26"/>
      <c r="C133" s="27"/>
      <c r="D133" s="1"/>
      <c r="F133" s="1"/>
      <c r="X133" s="1"/>
    </row>
    <row r="134" spans="2:24" ht="19.8">
      <c r="B134" s="26"/>
      <c r="C134" s="27"/>
      <c r="D134" s="1"/>
      <c r="F134" s="1"/>
      <c r="X134" s="1"/>
    </row>
    <row r="135" spans="2:24" ht="19.8">
      <c r="B135" s="26"/>
      <c r="C135" s="27"/>
      <c r="D135" s="1"/>
      <c r="F135" s="1"/>
      <c r="X135" s="1"/>
    </row>
    <row r="136" spans="2:24" ht="19.8">
      <c r="B136" s="26"/>
      <c r="C136" s="27"/>
      <c r="D136" s="1"/>
      <c r="F136" s="1"/>
      <c r="X136" s="1"/>
    </row>
    <row r="137" spans="2:24" ht="19.8">
      <c r="B137" s="26"/>
      <c r="C137" s="27"/>
      <c r="D137" s="1"/>
      <c r="F137" s="1"/>
      <c r="X137" s="1"/>
    </row>
    <row r="138" spans="2:24" ht="19.8">
      <c r="B138" s="26"/>
      <c r="C138" s="27"/>
      <c r="D138" s="1"/>
      <c r="F138" s="1"/>
      <c r="X138" s="1"/>
    </row>
    <row r="139" spans="2:24" ht="19.8">
      <c r="B139" s="26"/>
      <c r="C139" s="27"/>
      <c r="D139" s="1"/>
      <c r="F139" s="1"/>
      <c r="X139" s="1"/>
    </row>
    <row r="140" spans="2:24" ht="19.8">
      <c r="B140" s="26"/>
      <c r="C140" s="27"/>
      <c r="D140" s="1"/>
      <c r="F140" s="1"/>
      <c r="X140" s="1"/>
    </row>
    <row r="141" spans="2:24" ht="19.8">
      <c r="B141" s="26"/>
      <c r="C141" s="27"/>
      <c r="D141" s="1"/>
      <c r="F141" s="1"/>
      <c r="X141" s="1"/>
    </row>
    <row r="142" spans="2:24" ht="19.8">
      <c r="B142" s="26"/>
      <c r="C142" s="27"/>
      <c r="D142" s="1"/>
      <c r="F142" s="1"/>
      <c r="X142" s="1"/>
    </row>
    <row r="143" spans="2:24" ht="19.8">
      <c r="B143" s="26"/>
      <c r="C143" s="27"/>
      <c r="D143" s="1"/>
      <c r="F143" s="1"/>
      <c r="X143" s="1"/>
    </row>
    <row r="144" spans="2:24" ht="19.8">
      <c r="B144" s="26"/>
      <c r="C144" s="27"/>
      <c r="D144" s="1"/>
      <c r="F144" s="1"/>
      <c r="X144" s="1"/>
    </row>
    <row r="145" spans="2:24" ht="19.8">
      <c r="B145" s="26"/>
      <c r="C145" s="27"/>
      <c r="D145" s="1"/>
      <c r="F145" s="1"/>
      <c r="X145" s="1"/>
    </row>
    <row r="146" spans="2:24" ht="19.8">
      <c r="B146" s="26"/>
      <c r="C146" s="27"/>
      <c r="D146" s="1"/>
      <c r="F146" s="1"/>
      <c r="X146" s="1"/>
    </row>
    <row r="147" spans="2:24" ht="19.8">
      <c r="B147" s="26"/>
      <c r="C147" s="27"/>
      <c r="D147" s="1"/>
      <c r="F147" s="1"/>
      <c r="X147" s="1"/>
    </row>
    <row r="148" spans="2:24" ht="19.8">
      <c r="B148" s="26"/>
      <c r="C148" s="27"/>
      <c r="D148" s="1"/>
      <c r="F148" s="1"/>
      <c r="X148" s="1"/>
    </row>
    <row r="149" spans="2:24" ht="19.8">
      <c r="B149" s="26"/>
      <c r="C149" s="27"/>
      <c r="D149" s="1"/>
      <c r="F149" s="1"/>
      <c r="X149" s="1"/>
    </row>
    <row r="150" spans="2:24" ht="19.8">
      <c r="B150" s="26"/>
      <c r="C150" s="27"/>
      <c r="D150" s="1"/>
      <c r="F150" s="1"/>
      <c r="X150" s="1"/>
    </row>
    <row r="151" spans="2:24" ht="19.8">
      <c r="B151" s="26"/>
      <c r="C151" s="27"/>
      <c r="D151" s="1"/>
      <c r="F151" s="1"/>
      <c r="X151" s="1"/>
    </row>
    <row r="152" spans="2:24" ht="19.8">
      <c r="B152" s="26"/>
      <c r="C152" s="27"/>
      <c r="D152" s="1"/>
      <c r="F152" s="1"/>
      <c r="X152" s="1"/>
    </row>
    <row r="153" spans="2:24" ht="19.8">
      <c r="B153" s="26"/>
      <c r="C153" s="27"/>
      <c r="D153" s="1"/>
      <c r="F153" s="1"/>
      <c r="X153" s="1"/>
    </row>
    <row r="154" spans="2:24" ht="19.8">
      <c r="B154" s="26"/>
      <c r="C154" s="27"/>
      <c r="D154" s="1"/>
      <c r="F154" s="1"/>
      <c r="X154" s="1"/>
    </row>
    <row r="155" spans="2:24" ht="19.8">
      <c r="B155" s="26"/>
      <c r="C155" s="27"/>
      <c r="D155" s="1"/>
      <c r="F155" s="1"/>
      <c r="X155" s="1"/>
    </row>
    <row r="156" spans="2:24" ht="19.8">
      <c r="B156" s="26"/>
      <c r="C156" s="27"/>
      <c r="D156" s="1"/>
      <c r="F156" s="1"/>
      <c r="X156" s="1"/>
    </row>
    <row r="157" spans="2:24" ht="19.8">
      <c r="B157" s="26"/>
      <c r="C157" s="27"/>
      <c r="D157" s="1"/>
      <c r="F157" s="1"/>
      <c r="X157" s="1"/>
    </row>
    <row r="158" spans="2:24" ht="19.8">
      <c r="B158" s="26"/>
      <c r="C158" s="27"/>
      <c r="D158" s="1"/>
      <c r="F158" s="1"/>
      <c r="X158" s="1"/>
    </row>
    <row r="159" spans="2:24" ht="19.8">
      <c r="B159" s="26"/>
      <c r="C159" s="27"/>
      <c r="D159" s="1"/>
      <c r="F159" s="1"/>
      <c r="X159" s="1"/>
    </row>
    <row r="160" spans="2:24" ht="19.8">
      <c r="B160" s="26"/>
      <c r="C160" s="27"/>
      <c r="D160" s="1"/>
      <c r="F160" s="1"/>
      <c r="X160" s="1"/>
    </row>
    <row r="161" spans="2:24" ht="19.8">
      <c r="B161" s="26"/>
      <c r="C161" s="27"/>
      <c r="D161" s="1"/>
      <c r="F161" s="1"/>
      <c r="X161" s="1"/>
    </row>
    <row r="162" spans="2:24" ht="19.8">
      <c r="B162" s="26"/>
      <c r="C162" s="27"/>
      <c r="D162" s="1"/>
      <c r="F162" s="1"/>
      <c r="X162" s="1"/>
    </row>
    <row r="163" spans="2:24" ht="19.8">
      <c r="B163" s="26"/>
      <c r="C163" s="27"/>
      <c r="D163" s="1"/>
      <c r="F163" s="1"/>
      <c r="X163" s="1"/>
    </row>
    <row r="164" spans="2:24" ht="19.8">
      <c r="B164" s="26"/>
      <c r="C164" s="27"/>
      <c r="D164" s="1"/>
      <c r="F164" s="1"/>
      <c r="X164" s="1"/>
    </row>
    <row r="165" spans="2:24" ht="19.8">
      <c r="B165" s="26"/>
      <c r="C165" s="27"/>
      <c r="D165" s="1"/>
      <c r="F165" s="1"/>
      <c r="X165" s="1"/>
    </row>
    <row r="166" spans="2:24" ht="19.8">
      <c r="B166" s="26"/>
      <c r="C166" s="27"/>
      <c r="D166" s="1"/>
      <c r="F166" s="1"/>
      <c r="X166" s="1"/>
    </row>
    <row r="167" spans="2:24" ht="19.8">
      <c r="B167" s="26"/>
      <c r="C167" s="27"/>
      <c r="D167" s="1"/>
      <c r="F167" s="1"/>
      <c r="X167" s="1"/>
    </row>
    <row r="168" spans="2:24" ht="19.8">
      <c r="B168" s="26"/>
      <c r="C168" s="27"/>
      <c r="D168" s="1"/>
      <c r="F168" s="1"/>
      <c r="X168" s="1"/>
    </row>
    <row r="169" spans="2:24" ht="19.8">
      <c r="B169" s="26"/>
      <c r="C169" s="27"/>
      <c r="D169" s="1"/>
      <c r="F169" s="1"/>
      <c r="X169" s="1"/>
    </row>
    <row r="170" spans="2:24" ht="19.8">
      <c r="B170" s="26"/>
      <c r="C170" s="27"/>
      <c r="D170" s="1"/>
      <c r="F170" s="1"/>
      <c r="X170" s="1"/>
    </row>
    <row r="171" spans="2:24" ht="19.8">
      <c r="B171" s="26"/>
      <c r="C171" s="27"/>
      <c r="D171" s="1"/>
      <c r="F171" s="1"/>
      <c r="X171" s="1"/>
    </row>
    <row r="172" spans="2:24" ht="19.8">
      <c r="B172" s="26"/>
      <c r="C172" s="27"/>
      <c r="D172" s="1"/>
      <c r="F172" s="1"/>
      <c r="X172" s="1"/>
    </row>
    <row r="173" spans="2:24" ht="19.8">
      <c r="B173" s="26"/>
      <c r="C173" s="27"/>
      <c r="D173" s="1"/>
      <c r="F173" s="1"/>
      <c r="X173" s="1"/>
    </row>
    <row r="174" spans="2:24" ht="19.8">
      <c r="B174" s="26"/>
      <c r="C174" s="27"/>
      <c r="D174" s="1"/>
      <c r="F174" s="1"/>
      <c r="X174" s="1"/>
    </row>
    <row r="175" spans="2:24" ht="19.8">
      <c r="B175" s="26"/>
      <c r="C175" s="27"/>
      <c r="D175" s="1"/>
      <c r="F175" s="1"/>
      <c r="X175" s="1"/>
    </row>
    <row r="176" spans="2:24" ht="19.8">
      <c r="B176" s="26"/>
      <c r="C176" s="27"/>
      <c r="D176" s="1"/>
      <c r="F176" s="1"/>
      <c r="X176" s="1"/>
    </row>
    <row r="177" spans="2:24" ht="19.8">
      <c r="B177" s="26"/>
      <c r="C177" s="27"/>
      <c r="D177" s="1"/>
      <c r="F177" s="1"/>
      <c r="X177" s="1"/>
    </row>
    <row r="178" spans="2:24" ht="19.8">
      <c r="B178" s="26"/>
      <c r="C178" s="27"/>
      <c r="D178" s="1"/>
      <c r="F178" s="1"/>
      <c r="X178" s="1"/>
    </row>
    <row r="179" spans="2:24" ht="19.8">
      <c r="B179" s="26"/>
      <c r="C179" s="27"/>
      <c r="D179" s="1"/>
      <c r="F179" s="1"/>
      <c r="X179" s="1"/>
    </row>
    <row r="180" spans="2:24" ht="19.8">
      <c r="B180" s="26"/>
      <c r="C180" s="27"/>
      <c r="D180" s="1"/>
      <c r="F180" s="1"/>
      <c r="X180" s="1"/>
    </row>
    <row r="181" spans="2:24" ht="19.8">
      <c r="B181" s="26"/>
      <c r="C181" s="27"/>
      <c r="D181" s="1"/>
      <c r="F181" s="1"/>
      <c r="X181" s="1"/>
    </row>
    <row r="182" spans="2:24" ht="19.8">
      <c r="B182" s="26"/>
      <c r="C182" s="27"/>
      <c r="D182" s="1"/>
      <c r="F182" s="1"/>
      <c r="X182" s="1"/>
    </row>
    <row r="183" spans="2:24" ht="19.8">
      <c r="B183" s="26"/>
      <c r="C183" s="27"/>
      <c r="D183" s="1"/>
      <c r="F183" s="1"/>
      <c r="X183" s="1"/>
    </row>
    <row r="184" spans="2:24" ht="19.8">
      <c r="B184" s="26"/>
      <c r="C184" s="27"/>
      <c r="D184" s="1"/>
      <c r="F184" s="1"/>
      <c r="X184" s="1"/>
    </row>
    <row r="185" spans="2:24" ht="19.8">
      <c r="B185" s="26"/>
      <c r="C185" s="27"/>
      <c r="D185" s="1"/>
      <c r="F185" s="1"/>
      <c r="X185" s="1"/>
    </row>
    <row r="186" spans="2:24" ht="19.8">
      <c r="B186" s="26"/>
      <c r="C186" s="27"/>
      <c r="D186" s="1"/>
      <c r="F186" s="1"/>
      <c r="X186" s="1"/>
    </row>
    <row r="187" spans="2:24" ht="19.8">
      <c r="B187" s="26"/>
      <c r="C187" s="27"/>
      <c r="D187" s="1"/>
      <c r="F187" s="1"/>
      <c r="X187" s="1"/>
    </row>
    <row r="188" spans="2:24" ht="19.8">
      <c r="B188" s="26"/>
      <c r="C188" s="27"/>
      <c r="D188" s="1"/>
      <c r="F188" s="1"/>
      <c r="X188" s="1"/>
    </row>
    <row r="189" spans="2:24" ht="19.8">
      <c r="B189" s="26"/>
      <c r="C189" s="27"/>
      <c r="D189" s="1"/>
      <c r="F189" s="1"/>
      <c r="X189" s="1"/>
    </row>
    <row r="190" spans="2:24" ht="19.8">
      <c r="B190" s="26"/>
      <c r="C190" s="27"/>
      <c r="D190" s="1"/>
      <c r="F190" s="1"/>
      <c r="X190" s="1"/>
    </row>
    <row r="191" spans="2:24" ht="19.8">
      <c r="B191" s="26"/>
      <c r="C191" s="27"/>
      <c r="D191" s="1"/>
      <c r="F191" s="1"/>
      <c r="X191" s="1"/>
    </row>
    <row r="192" spans="2:24" ht="19.8">
      <c r="B192" s="26"/>
      <c r="C192" s="27"/>
      <c r="D192" s="1"/>
      <c r="F192" s="1"/>
      <c r="X192" s="1"/>
    </row>
    <row r="193" spans="2:24" ht="19.8">
      <c r="B193" s="26"/>
      <c r="C193" s="27"/>
      <c r="D193" s="1"/>
      <c r="F193" s="1"/>
      <c r="X193" s="1"/>
    </row>
    <row r="194" spans="2:24" ht="19.8">
      <c r="B194" s="26"/>
      <c r="C194" s="27"/>
      <c r="D194" s="1"/>
      <c r="F194" s="1"/>
      <c r="X194" s="1"/>
    </row>
    <row r="195" spans="2:24" ht="19.8">
      <c r="B195" s="26"/>
      <c r="C195" s="27"/>
      <c r="D195" s="1"/>
      <c r="F195" s="1"/>
      <c r="X195" s="1"/>
    </row>
    <row r="196" spans="2:24" ht="19.8">
      <c r="B196" s="26"/>
      <c r="C196" s="27"/>
      <c r="D196" s="1"/>
      <c r="F196" s="1"/>
      <c r="X196" s="1"/>
    </row>
    <row r="197" spans="2:24" ht="19.8">
      <c r="B197" s="26"/>
      <c r="C197" s="27"/>
      <c r="D197" s="1"/>
      <c r="F197" s="1"/>
      <c r="X197" s="1"/>
    </row>
    <row r="198" spans="2:24" ht="19.8">
      <c r="B198" s="26"/>
      <c r="C198" s="27"/>
      <c r="D198" s="1"/>
      <c r="F198" s="1"/>
      <c r="X198" s="1"/>
    </row>
    <row r="199" spans="2:24" ht="19.8">
      <c r="B199" s="26"/>
      <c r="C199" s="27"/>
      <c r="D199" s="1"/>
      <c r="F199" s="1"/>
      <c r="X199" s="1"/>
    </row>
    <row r="200" spans="2:24" ht="19.8">
      <c r="B200" s="26"/>
      <c r="C200" s="27"/>
      <c r="D200" s="1"/>
      <c r="F200" s="1"/>
      <c r="X200" s="1"/>
    </row>
    <row r="201" spans="2:24" ht="19.8">
      <c r="B201" s="26"/>
      <c r="C201" s="27"/>
      <c r="D201" s="1"/>
      <c r="F201" s="1"/>
      <c r="X201" s="1"/>
    </row>
    <row r="202" spans="2:24" ht="19.8">
      <c r="B202" s="26"/>
      <c r="C202" s="27"/>
      <c r="D202" s="1"/>
      <c r="F202" s="1"/>
      <c r="X202" s="1"/>
    </row>
    <row r="203" spans="2:24" ht="19.8">
      <c r="B203" s="26"/>
      <c r="C203" s="27"/>
      <c r="D203" s="1"/>
      <c r="F203" s="1"/>
      <c r="X203" s="1"/>
    </row>
    <row r="204" spans="2:24" ht="19.8">
      <c r="B204" s="26"/>
      <c r="C204" s="27"/>
      <c r="D204" s="1"/>
      <c r="F204" s="1"/>
      <c r="X204" s="1"/>
    </row>
    <row r="205" spans="2:24" ht="19.8">
      <c r="B205" s="26"/>
      <c r="C205" s="27"/>
      <c r="D205" s="1"/>
      <c r="F205" s="1"/>
      <c r="X205" s="1"/>
    </row>
    <row r="206" spans="2:24" ht="19.8">
      <c r="B206" s="26"/>
      <c r="C206" s="27"/>
      <c r="D206" s="1"/>
      <c r="F206" s="1"/>
      <c r="X206" s="1"/>
    </row>
    <row r="207" spans="2:24" ht="19.8">
      <c r="B207" s="26"/>
      <c r="C207" s="27"/>
      <c r="D207" s="1"/>
      <c r="F207" s="1"/>
      <c r="X207" s="1"/>
    </row>
    <row r="208" spans="2:24" ht="19.8">
      <c r="B208" s="26"/>
      <c r="C208" s="27"/>
      <c r="D208" s="1"/>
      <c r="F208" s="1"/>
      <c r="X208" s="1"/>
    </row>
    <row r="209" spans="2:24" ht="19.8">
      <c r="B209" s="26"/>
      <c r="C209" s="27"/>
      <c r="D209" s="1"/>
      <c r="F209" s="1"/>
      <c r="X209" s="1"/>
    </row>
    <row r="210" spans="2:24" ht="19.8">
      <c r="B210" s="26"/>
      <c r="C210" s="27"/>
      <c r="D210" s="1"/>
      <c r="F210" s="1"/>
      <c r="X210" s="1"/>
    </row>
    <row r="211" spans="2:24" ht="19.8">
      <c r="B211" s="26"/>
      <c r="C211" s="27"/>
      <c r="D211" s="1"/>
      <c r="F211" s="1"/>
      <c r="X211" s="1"/>
    </row>
    <row r="212" spans="2:24" ht="19.8">
      <c r="B212" s="26"/>
      <c r="C212" s="27"/>
      <c r="D212" s="1"/>
      <c r="F212" s="1"/>
      <c r="X212" s="1"/>
    </row>
    <row r="213" spans="2:24" ht="19.8">
      <c r="B213" s="26"/>
      <c r="C213" s="27"/>
      <c r="D213" s="1"/>
      <c r="F213" s="1"/>
      <c r="X213" s="1"/>
    </row>
    <row r="214" spans="2:24" ht="19.8">
      <c r="B214" s="26"/>
      <c r="C214" s="27"/>
      <c r="D214" s="1"/>
      <c r="F214" s="1"/>
      <c r="X214" s="1"/>
    </row>
    <row r="215" spans="2:24" ht="19.8">
      <c r="B215" s="26"/>
      <c r="C215" s="27"/>
      <c r="D215" s="1"/>
      <c r="F215" s="1"/>
      <c r="X215" s="1"/>
    </row>
    <row r="216" spans="2:24" ht="19.8">
      <c r="B216" s="26"/>
      <c r="C216" s="27"/>
      <c r="D216" s="1"/>
      <c r="F216" s="1"/>
      <c r="X216" s="1"/>
    </row>
    <row r="217" spans="2:24" ht="19.8">
      <c r="B217" s="26"/>
      <c r="C217" s="27"/>
      <c r="D217" s="1"/>
      <c r="F217" s="1"/>
      <c r="X217" s="1"/>
    </row>
    <row r="218" spans="2:24" ht="19.8">
      <c r="B218" s="26"/>
      <c r="C218" s="27"/>
      <c r="D218" s="1"/>
      <c r="F218" s="1"/>
      <c r="X218" s="1"/>
    </row>
    <row r="219" spans="2:24" ht="19.8">
      <c r="B219" s="26"/>
      <c r="C219" s="27"/>
      <c r="D219" s="1"/>
      <c r="F219" s="1"/>
      <c r="X219" s="1"/>
    </row>
    <row r="220" spans="2:24" ht="19.8">
      <c r="B220" s="26"/>
      <c r="C220" s="27"/>
      <c r="D220" s="1"/>
      <c r="F220" s="1"/>
      <c r="X220" s="1"/>
    </row>
    <row r="221" spans="2:24" ht="19.8">
      <c r="B221" s="26"/>
      <c r="C221" s="27"/>
      <c r="D221" s="1"/>
      <c r="F221" s="1"/>
      <c r="X221" s="1"/>
    </row>
    <row r="222" spans="2:24" ht="19.8">
      <c r="B222" s="26"/>
      <c r="C222" s="27"/>
      <c r="D222" s="1"/>
      <c r="F222" s="1"/>
      <c r="X222" s="1"/>
    </row>
    <row r="223" spans="2:24" ht="19.8">
      <c r="B223" s="26"/>
      <c r="C223" s="27"/>
      <c r="D223" s="1"/>
      <c r="F223" s="1"/>
      <c r="X223" s="1"/>
    </row>
    <row r="224" spans="2:24" ht="19.8">
      <c r="B224" s="26"/>
      <c r="C224" s="27"/>
      <c r="D224" s="1"/>
      <c r="F224" s="1"/>
      <c r="X224" s="1"/>
    </row>
    <row r="225" spans="2:24" ht="19.8">
      <c r="B225" s="26"/>
      <c r="C225" s="27"/>
      <c r="D225" s="1"/>
      <c r="F225" s="1"/>
      <c r="X225" s="1"/>
    </row>
    <row r="226" spans="2:24" ht="19.8">
      <c r="B226" s="26"/>
      <c r="C226" s="27"/>
      <c r="D226" s="1"/>
      <c r="F226" s="1"/>
      <c r="X226" s="1"/>
    </row>
    <row r="227" spans="2:24" ht="19.8">
      <c r="B227" s="26"/>
      <c r="C227" s="27"/>
      <c r="D227" s="1"/>
      <c r="F227" s="1"/>
      <c r="X227" s="1"/>
    </row>
    <row r="228" spans="2:24" ht="19.8">
      <c r="B228" s="26"/>
      <c r="C228" s="27"/>
      <c r="D228" s="1"/>
      <c r="F228" s="1"/>
      <c r="X228" s="1"/>
    </row>
    <row r="229" spans="2:24" ht="19.8">
      <c r="B229" s="26"/>
      <c r="C229" s="27"/>
      <c r="D229" s="1"/>
      <c r="F229" s="1"/>
      <c r="X229" s="1"/>
    </row>
    <row r="230" spans="2:24" ht="19.8">
      <c r="B230" s="26"/>
      <c r="C230" s="27"/>
      <c r="D230" s="1"/>
      <c r="F230" s="1"/>
      <c r="X230" s="1"/>
    </row>
    <row r="231" spans="2:24" ht="19.8">
      <c r="B231" s="26"/>
      <c r="C231" s="27"/>
      <c r="D231" s="1"/>
      <c r="F231" s="1"/>
      <c r="X231" s="1"/>
    </row>
    <row r="232" spans="2:24" ht="19.8">
      <c r="B232" s="26"/>
      <c r="C232" s="27"/>
      <c r="D232" s="1"/>
      <c r="F232" s="1"/>
      <c r="X232" s="1"/>
    </row>
    <row r="233" spans="2:24" ht="19.8">
      <c r="B233" s="26"/>
      <c r="C233" s="27"/>
      <c r="D233" s="1"/>
      <c r="F233" s="1"/>
      <c r="X233" s="1"/>
    </row>
    <row r="234" spans="2:24" ht="19.8">
      <c r="B234" s="26"/>
      <c r="C234" s="27"/>
      <c r="D234" s="1"/>
      <c r="F234" s="1"/>
      <c r="X234" s="1"/>
    </row>
    <row r="235" spans="2:24" ht="19.8">
      <c r="B235" s="26"/>
      <c r="C235" s="27"/>
      <c r="D235" s="1"/>
      <c r="F235" s="1"/>
      <c r="X235" s="1"/>
    </row>
    <row r="236" spans="2:24" ht="19.8">
      <c r="B236" s="26"/>
      <c r="C236" s="27"/>
      <c r="D236" s="1"/>
      <c r="F236" s="1"/>
      <c r="X236" s="1"/>
    </row>
    <row r="237" spans="2:24" ht="19.8">
      <c r="B237" s="26"/>
      <c r="C237" s="27"/>
      <c r="D237" s="1"/>
      <c r="F237" s="1"/>
      <c r="X237" s="1"/>
    </row>
    <row r="238" spans="2:24" ht="19.8">
      <c r="B238" s="26"/>
      <c r="C238" s="27"/>
      <c r="D238" s="1"/>
      <c r="F238" s="1"/>
      <c r="X238" s="1"/>
    </row>
    <row r="239" spans="2:24" ht="19.8">
      <c r="B239" s="26"/>
      <c r="C239" s="27"/>
      <c r="D239" s="1"/>
      <c r="F239" s="1"/>
      <c r="X239" s="1"/>
    </row>
    <row r="240" spans="2:24" ht="19.8">
      <c r="B240" s="26"/>
      <c r="C240" s="27"/>
      <c r="D240" s="1"/>
      <c r="F240" s="1"/>
      <c r="X240" s="1"/>
    </row>
    <row r="241" spans="2:24" ht="19.8">
      <c r="B241" s="26"/>
      <c r="C241" s="27"/>
      <c r="D241" s="1"/>
      <c r="F241" s="1"/>
      <c r="X241" s="1"/>
    </row>
    <row r="242" spans="2:24" ht="19.8">
      <c r="B242" s="26"/>
      <c r="C242" s="27"/>
      <c r="D242" s="1"/>
      <c r="F242" s="1"/>
      <c r="X242" s="1"/>
    </row>
    <row r="243" spans="2:24" ht="19.8">
      <c r="B243" s="26"/>
      <c r="C243" s="27"/>
      <c r="D243" s="1"/>
      <c r="F243" s="1"/>
      <c r="X243" s="1"/>
    </row>
    <row r="244" spans="2:24" ht="19.8">
      <c r="B244" s="26"/>
      <c r="C244" s="27"/>
      <c r="D244" s="1"/>
      <c r="F244" s="1"/>
      <c r="X244" s="1"/>
    </row>
    <row r="245" spans="2:24" ht="19.8">
      <c r="B245" s="26"/>
      <c r="C245" s="27"/>
      <c r="D245" s="1"/>
      <c r="F245" s="1"/>
      <c r="X245" s="1"/>
    </row>
    <row r="246" spans="2:24" ht="19.8">
      <c r="B246" s="26"/>
      <c r="C246" s="27"/>
      <c r="D246" s="1"/>
      <c r="F246" s="1"/>
      <c r="X246" s="1"/>
    </row>
    <row r="247" spans="2:24" ht="19.8">
      <c r="B247" s="26"/>
      <c r="C247" s="27"/>
      <c r="D247" s="1"/>
      <c r="F247" s="1"/>
      <c r="X247" s="1"/>
    </row>
    <row r="248" spans="2:24" ht="19.8">
      <c r="B248" s="26"/>
      <c r="C248" s="27"/>
      <c r="D248" s="1"/>
      <c r="F248" s="1"/>
      <c r="X248" s="1"/>
    </row>
    <row r="249" spans="2:24" ht="19.8">
      <c r="B249" s="26"/>
      <c r="C249" s="27"/>
      <c r="D249" s="1"/>
      <c r="F249" s="1"/>
      <c r="X249" s="1"/>
    </row>
    <row r="250" spans="2:24" ht="19.8">
      <c r="B250" s="26"/>
      <c r="C250" s="27"/>
      <c r="D250" s="1"/>
      <c r="F250" s="1"/>
      <c r="X250" s="1"/>
    </row>
    <row r="251" spans="2:24" ht="19.8">
      <c r="B251" s="26"/>
      <c r="C251" s="27"/>
      <c r="D251" s="1"/>
      <c r="F251" s="1"/>
      <c r="X251" s="1"/>
    </row>
    <row r="252" spans="2:24" ht="19.8">
      <c r="B252" s="26"/>
      <c r="C252" s="27"/>
      <c r="D252" s="1"/>
      <c r="F252" s="1"/>
      <c r="X252" s="1"/>
    </row>
    <row r="253" spans="2:24" ht="19.8">
      <c r="B253" s="26"/>
      <c r="C253" s="27"/>
      <c r="D253" s="1"/>
      <c r="F253" s="1"/>
      <c r="X253" s="1"/>
    </row>
    <row r="254" spans="2:24" ht="19.8">
      <c r="B254" s="26"/>
      <c r="C254" s="27"/>
      <c r="D254" s="1"/>
      <c r="F254" s="1"/>
      <c r="X254" s="1"/>
    </row>
    <row r="255" spans="2:24" ht="19.8">
      <c r="B255" s="26"/>
      <c r="C255" s="27"/>
      <c r="D255" s="1"/>
      <c r="F255" s="1"/>
      <c r="X255" s="1"/>
    </row>
    <row r="256" spans="2:24" ht="19.8">
      <c r="B256" s="26"/>
      <c r="C256" s="27"/>
      <c r="D256" s="1"/>
      <c r="F256" s="1"/>
      <c r="X256" s="1"/>
    </row>
    <row r="257" spans="2:24" ht="19.8">
      <c r="B257" s="26"/>
      <c r="C257" s="27"/>
      <c r="D257" s="1"/>
      <c r="F257" s="1"/>
      <c r="X257" s="1"/>
    </row>
    <row r="258" spans="2:24" ht="19.8">
      <c r="B258" s="26"/>
      <c r="C258" s="27"/>
      <c r="D258" s="1"/>
      <c r="F258" s="1"/>
      <c r="X258" s="1"/>
    </row>
    <row r="259" spans="2:24" ht="19.8">
      <c r="B259" s="26"/>
      <c r="C259" s="27"/>
      <c r="D259" s="1"/>
      <c r="F259" s="1"/>
      <c r="X259" s="1"/>
    </row>
    <row r="260" spans="2:24" ht="19.8">
      <c r="B260" s="26"/>
      <c r="C260" s="27"/>
      <c r="D260" s="1"/>
      <c r="F260" s="1"/>
      <c r="X260" s="1"/>
    </row>
    <row r="261" spans="2:24" ht="19.8">
      <c r="B261" s="26"/>
      <c r="C261" s="27"/>
      <c r="D261" s="1"/>
      <c r="F261" s="1"/>
      <c r="X261" s="1"/>
    </row>
    <row r="262" spans="2:24" ht="19.8">
      <c r="B262" s="26"/>
      <c r="C262" s="27"/>
      <c r="D262" s="1"/>
      <c r="F262" s="1"/>
      <c r="X262" s="1"/>
    </row>
    <row r="263" spans="2:24" ht="19.8">
      <c r="B263" s="26"/>
      <c r="C263" s="27"/>
      <c r="D263" s="1"/>
      <c r="F263" s="1"/>
      <c r="X263" s="1"/>
    </row>
    <row r="264" spans="2:24" ht="19.8">
      <c r="B264" s="26"/>
      <c r="C264" s="27"/>
      <c r="D264" s="1"/>
      <c r="F264" s="1"/>
      <c r="X264" s="1"/>
    </row>
    <row r="265" spans="2:24" ht="19.8">
      <c r="B265" s="26"/>
      <c r="C265" s="27"/>
      <c r="D265" s="1"/>
      <c r="F265" s="1"/>
      <c r="X265" s="1"/>
    </row>
    <row r="266" spans="2:24" ht="19.8">
      <c r="B266" s="26"/>
      <c r="C266" s="27"/>
      <c r="D266" s="1"/>
      <c r="F266" s="1"/>
      <c r="X266" s="1"/>
    </row>
    <row r="267" spans="2:24" ht="19.8">
      <c r="B267" s="26"/>
      <c r="C267" s="27"/>
      <c r="D267" s="1"/>
      <c r="F267" s="1"/>
      <c r="X267" s="1"/>
    </row>
    <row r="268" spans="2:24" ht="19.8">
      <c r="B268" s="26"/>
      <c r="C268" s="27"/>
      <c r="D268" s="1"/>
      <c r="F268" s="1"/>
      <c r="X268" s="1"/>
    </row>
    <row r="269" spans="2:24" ht="19.8">
      <c r="B269" s="26"/>
      <c r="C269" s="27"/>
      <c r="D269" s="1"/>
      <c r="F269" s="1"/>
      <c r="X269" s="1"/>
    </row>
    <row r="270" spans="2:24" ht="19.8">
      <c r="B270" s="26"/>
      <c r="C270" s="27"/>
      <c r="D270" s="1"/>
      <c r="F270" s="1"/>
      <c r="X270" s="1"/>
    </row>
    <row r="271" spans="2:24" ht="19.8">
      <c r="B271" s="26"/>
      <c r="C271" s="27"/>
      <c r="D271" s="1"/>
      <c r="F271" s="1"/>
      <c r="X271" s="1"/>
    </row>
    <row r="272" spans="2:24" ht="19.8">
      <c r="B272" s="26"/>
      <c r="C272" s="27"/>
      <c r="D272" s="1"/>
      <c r="F272" s="1"/>
      <c r="X272" s="1"/>
    </row>
    <row r="273" spans="2:24" ht="19.8">
      <c r="B273" s="26"/>
      <c r="C273" s="27"/>
      <c r="D273" s="1"/>
      <c r="F273" s="1"/>
      <c r="X273" s="1"/>
    </row>
    <row r="274" spans="2:24" ht="19.8">
      <c r="B274" s="26"/>
      <c r="C274" s="27"/>
      <c r="D274" s="1"/>
      <c r="F274" s="1"/>
      <c r="X274" s="1"/>
    </row>
    <row r="275" spans="2:24" ht="19.8">
      <c r="B275" s="26"/>
      <c r="C275" s="27"/>
      <c r="D275" s="1"/>
      <c r="F275" s="1"/>
      <c r="X275" s="1"/>
    </row>
    <row r="276" spans="2:24" ht="19.8">
      <c r="B276" s="26"/>
      <c r="C276" s="27"/>
      <c r="D276" s="1"/>
      <c r="F276" s="1"/>
      <c r="X276" s="1"/>
    </row>
    <row r="277" spans="2:24" ht="19.8">
      <c r="B277" s="26"/>
      <c r="C277" s="27"/>
      <c r="D277" s="1"/>
      <c r="F277" s="1"/>
      <c r="X277" s="1"/>
    </row>
    <row r="278" spans="2:24" ht="19.8">
      <c r="B278" s="26"/>
      <c r="C278" s="27"/>
      <c r="D278" s="1"/>
      <c r="F278" s="1"/>
      <c r="X278" s="1"/>
    </row>
    <row r="279" spans="2:24" ht="19.8">
      <c r="B279" s="26"/>
      <c r="C279" s="27"/>
      <c r="D279" s="1"/>
      <c r="F279" s="1"/>
      <c r="X279" s="1"/>
    </row>
    <row r="280" spans="2:24" ht="19.8">
      <c r="B280" s="26"/>
      <c r="C280" s="27"/>
      <c r="D280" s="1"/>
      <c r="F280" s="1"/>
      <c r="X280" s="1"/>
    </row>
    <row r="281" spans="2:24" ht="19.8">
      <c r="B281" s="26"/>
      <c r="C281" s="27"/>
      <c r="D281" s="1"/>
      <c r="F281" s="1"/>
      <c r="X281" s="1"/>
    </row>
    <row r="282" spans="2:24" ht="19.8">
      <c r="B282" s="26"/>
      <c r="C282" s="27"/>
      <c r="D282" s="1"/>
      <c r="F282" s="1"/>
      <c r="X282" s="1"/>
    </row>
    <row r="283" spans="2:24" ht="19.8">
      <c r="B283" s="26"/>
      <c r="C283" s="27"/>
      <c r="D283" s="1"/>
      <c r="F283" s="1"/>
      <c r="X283" s="1"/>
    </row>
    <row r="284" spans="2:24" ht="19.8">
      <c r="B284" s="26"/>
      <c r="C284" s="27"/>
      <c r="D284" s="1"/>
      <c r="F284" s="1"/>
      <c r="X284" s="1"/>
    </row>
    <row r="285" spans="2:24" ht="19.8">
      <c r="B285" s="26"/>
      <c r="C285" s="27"/>
      <c r="D285" s="1"/>
      <c r="F285" s="1"/>
      <c r="X285" s="1"/>
    </row>
    <row r="286" spans="2:24" ht="19.8">
      <c r="B286" s="26"/>
      <c r="C286" s="27"/>
      <c r="D286" s="1"/>
      <c r="F286" s="1"/>
      <c r="X286" s="1"/>
    </row>
    <row r="287" spans="2:24" ht="19.8">
      <c r="B287" s="26"/>
      <c r="C287" s="27"/>
      <c r="D287" s="1"/>
      <c r="F287" s="1"/>
      <c r="X287" s="1"/>
    </row>
    <row r="288" spans="2:24" ht="19.8">
      <c r="B288" s="26"/>
      <c r="C288" s="27"/>
      <c r="D288" s="1"/>
      <c r="F288" s="1"/>
      <c r="X288" s="1"/>
    </row>
    <row r="289" spans="2:24" ht="19.8">
      <c r="B289" s="26"/>
      <c r="C289" s="27"/>
      <c r="D289" s="1"/>
      <c r="F289" s="1"/>
      <c r="X289" s="1"/>
    </row>
    <row r="290" spans="2:24" ht="19.8">
      <c r="B290" s="26"/>
      <c r="C290" s="27"/>
      <c r="D290" s="1"/>
      <c r="F290" s="1"/>
      <c r="X290" s="1"/>
    </row>
    <row r="291" spans="2:24" ht="19.8">
      <c r="B291" s="26"/>
      <c r="C291" s="27"/>
      <c r="D291" s="1"/>
      <c r="F291" s="1"/>
      <c r="X291" s="1"/>
    </row>
    <row r="292" spans="2:24" ht="19.8">
      <c r="B292" s="26"/>
      <c r="C292" s="27"/>
      <c r="D292" s="1"/>
      <c r="F292" s="1"/>
      <c r="X292" s="1"/>
    </row>
    <row r="293" spans="2:24" ht="19.8">
      <c r="B293" s="26"/>
      <c r="C293" s="27"/>
      <c r="D293" s="1"/>
      <c r="F293" s="1"/>
      <c r="X293" s="1"/>
    </row>
    <row r="294" spans="2:24" ht="19.8">
      <c r="B294" s="26"/>
      <c r="C294" s="27"/>
      <c r="D294" s="1"/>
      <c r="F294" s="1"/>
      <c r="X294" s="1"/>
    </row>
    <row r="295" spans="2:24" ht="19.8">
      <c r="B295" s="26"/>
      <c r="C295" s="27"/>
      <c r="D295" s="1"/>
      <c r="F295" s="1"/>
      <c r="X295" s="1"/>
    </row>
    <row r="296" spans="2:24" ht="19.8">
      <c r="B296" s="26"/>
      <c r="C296" s="27"/>
      <c r="D296" s="1"/>
      <c r="F296" s="1"/>
      <c r="X296" s="1"/>
    </row>
    <row r="297" spans="2:24" ht="19.8">
      <c r="B297" s="26"/>
      <c r="C297" s="27"/>
      <c r="D297" s="1"/>
      <c r="F297" s="1"/>
      <c r="X297" s="1"/>
    </row>
    <row r="298" spans="2:24" ht="19.8">
      <c r="B298" s="26"/>
      <c r="C298" s="27"/>
      <c r="D298" s="1"/>
      <c r="F298" s="1"/>
      <c r="X298" s="1"/>
    </row>
    <row r="299" spans="2:24" ht="19.8">
      <c r="B299" s="26"/>
      <c r="C299" s="27"/>
      <c r="D299" s="1"/>
      <c r="F299" s="1"/>
      <c r="X299" s="1"/>
    </row>
    <row r="300" spans="2:24" ht="19.8">
      <c r="B300" s="26"/>
      <c r="C300" s="27"/>
      <c r="D300" s="1"/>
      <c r="F300" s="1"/>
      <c r="X300" s="1"/>
    </row>
    <row r="301" spans="2:24" ht="19.8">
      <c r="B301" s="26"/>
      <c r="C301" s="27"/>
      <c r="D301" s="1"/>
      <c r="F301" s="1"/>
      <c r="X301" s="1"/>
    </row>
    <row r="302" spans="2:24" ht="19.8">
      <c r="B302" s="26"/>
      <c r="C302" s="27"/>
      <c r="D302" s="1"/>
      <c r="F302" s="1"/>
      <c r="X302" s="1"/>
    </row>
    <row r="303" spans="2:24" ht="19.8">
      <c r="B303" s="26"/>
      <c r="C303" s="27"/>
      <c r="D303" s="1"/>
      <c r="F303" s="1"/>
      <c r="X303" s="1"/>
    </row>
    <row r="304" spans="2:24" ht="19.8">
      <c r="B304" s="26"/>
      <c r="C304" s="27"/>
      <c r="D304" s="1"/>
      <c r="F304" s="1"/>
      <c r="X304" s="1"/>
    </row>
    <row r="305" spans="2:24" ht="19.8">
      <c r="B305" s="26"/>
      <c r="C305" s="27"/>
      <c r="D305" s="1"/>
      <c r="F305" s="1"/>
      <c r="X305" s="1"/>
    </row>
    <row r="306" spans="2:24" ht="19.8">
      <c r="B306" s="26"/>
      <c r="C306" s="27"/>
      <c r="D306" s="1"/>
      <c r="F306" s="1"/>
      <c r="X306" s="1"/>
    </row>
    <row r="307" spans="2:24" ht="19.8">
      <c r="B307" s="26"/>
      <c r="C307" s="27"/>
      <c r="D307" s="1"/>
      <c r="F307" s="1"/>
      <c r="X307" s="1"/>
    </row>
    <row r="308" spans="2:24" ht="19.8">
      <c r="B308" s="26"/>
      <c r="C308" s="27"/>
      <c r="D308" s="1"/>
      <c r="F308" s="1"/>
      <c r="X308" s="1"/>
    </row>
    <row r="309" spans="2:24" ht="19.8">
      <c r="B309" s="26"/>
      <c r="C309" s="27"/>
      <c r="D309" s="1"/>
      <c r="F309" s="1"/>
      <c r="X309" s="1"/>
    </row>
    <row r="310" spans="2:24" ht="19.8">
      <c r="B310" s="26"/>
      <c r="C310" s="27"/>
      <c r="D310" s="1"/>
      <c r="F310" s="1"/>
      <c r="X310" s="1"/>
    </row>
    <row r="311" spans="2:24" ht="19.8">
      <c r="B311" s="26"/>
      <c r="C311" s="27"/>
      <c r="D311" s="1"/>
      <c r="F311" s="1"/>
      <c r="X311" s="1"/>
    </row>
    <row r="312" spans="2:24" ht="19.8">
      <c r="B312" s="26"/>
      <c r="C312" s="27"/>
      <c r="D312" s="1"/>
      <c r="F312" s="1"/>
      <c r="X312" s="1"/>
    </row>
    <row r="313" spans="2:24" ht="19.8">
      <c r="B313" s="26"/>
      <c r="C313" s="27"/>
      <c r="D313" s="1"/>
      <c r="F313" s="1"/>
      <c r="X313" s="1"/>
    </row>
    <row r="314" spans="2:24" ht="19.8">
      <c r="B314" s="26"/>
      <c r="C314" s="27"/>
      <c r="D314" s="1"/>
      <c r="F314" s="1"/>
      <c r="X314" s="1"/>
    </row>
    <row r="315" spans="2:24" ht="19.8">
      <c r="B315" s="26"/>
      <c r="C315" s="27"/>
      <c r="D315" s="1"/>
      <c r="F315" s="1"/>
      <c r="X315" s="1"/>
    </row>
    <row r="316" spans="2:24" ht="19.8">
      <c r="B316" s="26"/>
      <c r="C316" s="27"/>
      <c r="D316" s="1"/>
      <c r="F316" s="1"/>
      <c r="X316" s="1"/>
    </row>
    <row r="317" spans="2:24" ht="19.8">
      <c r="B317" s="26"/>
      <c r="C317" s="27"/>
      <c r="D317" s="1"/>
      <c r="F317" s="1"/>
      <c r="X317" s="1"/>
    </row>
    <row r="318" spans="2:24" ht="19.8">
      <c r="B318" s="26"/>
      <c r="C318" s="27"/>
      <c r="D318" s="1"/>
      <c r="F318" s="1"/>
      <c r="X318" s="1"/>
    </row>
    <row r="319" spans="2:24" ht="19.8">
      <c r="B319" s="26"/>
      <c r="C319" s="27"/>
      <c r="D319" s="1"/>
      <c r="F319" s="1"/>
      <c r="X319" s="1"/>
    </row>
    <row r="320" spans="2:24" ht="19.8">
      <c r="B320" s="26"/>
      <c r="C320" s="27"/>
      <c r="D320" s="1"/>
      <c r="F320" s="1"/>
      <c r="X320" s="1"/>
    </row>
    <row r="321" spans="2:24" ht="19.8">
      <c r="B321" s="26"/>
      <c r="C321" s="27"/>
      <c r="D321" s="1"/>
      <c r="F321" s="1"/>
      <c r="X321" s="1"/>
    </row>
    <row r="322" spans="2:24" ht="19.8">
      <c r="B322" s="26"/>
      <c r="C322" s="27"/>
      <c r="D322" s="1"/>
      <c r="F322" s="1"/>
      <c r="X322" s="1"/>
    </row>
    <row r="323" spans="2:24" ht="19.8">
      <c r="B323" s="26"/>
      <c r="C323" s="27"/>
      <c r="D323" s="1"/>
      <c r="F323" s="1"/>
      <c r="X323" s="1"/>
    </row>
    <row r="324" spans="2:24" ht="19.8">
      <c r="B324" s="26"/>
      <c r="C324" s="27"/>
      <c r="D324" s="1"/>
      <c r="F324" s="1"/>
      <c r="X324" s="1"/>
    </row>
    <row r="325" spans="2:24" ht="19.8">
      <c r="B325" s="26"/>
      <c r="C325" s="27"/>
      <c r="D325" s="1"/>
      <c r="F325" s="1"/>
      <c r="X325" s="1"/>
    </row>
    <row r="326" spans="2:24" ht="19.8">
      <c r="B326" s="26"/>
      <c r="C326" s="27"/>
      <c r="D326" s="1"/>
      <c r="F326" s="1"/>
      <c r="X326" s="1"/>
    </row>
    <row r="327" spans="2:24" ht="19.8">
      <c r="B327" s="26"/>
      <c r="C327" s="27"/>
      <c r="D327" s="1"/>
      <c r="F327" s="1"/>
      <c r="X327" s="1"/>
    </row>
    <row r="328" spans="2:24" ht="19.8">
      <c r="B328" s="26"/>
      <c r="C328" s="27"/>
      <c r="D328" s="1"/>
      <c r="F328" s="1"/>
      <c r="X328" s="1"/>
    </row>
    <row r="329" spans="2:24" ht="19.8">
      <c r="B329" s="26"/>
      <c r="C329" s="27"/>
      <c r="D329" s="1"/>
      <c r="F329" s="1"/>
      <c r="X329" s="1"/>
    </row>
    <row r="330" spans="2:24" ht="19.8">
      <c r="B330" s="26"/>
      <c r="C330" s="27"/>
      <c r="D330" s="1"/>
      <c r="F330" s="1"/>
      <c r="X330" s="1"/>
    </row>
    <row r="331" spans="2:24" ht="19.8">
      <c r="B331" s="26"/>
      <c r="C331" s="27"/>
      <c r="D331" s="1"/>
      <c r="F331" s="1"/>
      <c r="X331" s="1"/>
    </row>
    <row r="332" spans="2:24" ht="19.8">
      <c r="B332" s="26"/>
      <c r="C332" s="27"/>
      <c r="D332" s="1"/>
      <c r="F332" s="1"/>
      <c r="X332" s="1"/>
    </row>
    <row r="333" spans="2:24" ht="19.8">
      <c r="B333" s="26"/>
      <c r="C333" s="27"/>
      <c r="D333" s="1"/>
      <c r="F333" s="1"/>
      <c r="X333" s="1"/>
    </row>
    <row r="334" spans="2:24" ht="19.8">
      <c r="B334" s="26"/>
      <c r="C334" s="27"/>
      <c r="D334" s="1"/>
      <c r="F334" s="1"/>
      <c r="X334" s="1"/>
    </row>
    <row r="335" spans="2:24" ht="19.8">
      <c r="B335" s="26"/>
      <c r="C335" s="27"/>
      <c r="D335" s="1"/>
      <c r="F335" s="1"/>
      <c r="X335" s="1"/>
    </row>
    <row r="336" spans="2:24" ht="19.8">
      <c r="B336" s="26"/>
      <c r="C336" s="27"/>
      <c r="D336" s="1"/>
      <c r="F336" s="1"/>
      <c r="X336" s="1"/>
    </row>
    <row r="337" spans="2:24" ht="19.8">
      <c r="B337" s="26"/>
      <c r="C337" s="27"/>
      <c r="D337" s="1"/>
      <c r="F337" s="1"/>
      <c r="X337" s="1"/>
    </row>
    <row r="338" spans="2:24" ht="19.8">
      <c r="B338" s="26"/>
      <c r="C338" s="27"/>
      <c r="D338" s="1"/>
      <c r="F338" s="1"/>
      <c r="X338" s="1"/>
    </row>
    <row r="339" spans="2:24" ht="19.8">
      <c r="B339" s="26"/>
      <c r="C339" s="27"/>
      <c r="D339" s="1"/>
      <c r="F339" s="1"/>
      <c r="X339" s="1"/>
    </row>
    <row r="340" spans="2:24" ht="19.8">
      <c r="B340" s="26"/>
      <c r="C340" s="27"/>
      <c r="D340" s="1"/>
      <c r="F340" s="1"/>
      <c r="X340" s="1"/>
    </row>
    <row r="341" spans="2:24" ht="19.8">
      <c r="B341" s="26"/>
      <c r="C341" s="27"/>
      <c r="D341" s="1"/>
      <c r="F341" s="1"/>
      <c r="X341" s="1"/>
    </row>
    <row r="342" spans="2:24" ht="19.8">
      <c r="B342" s="26"/>
      <c r="C342" s="27"/>
      <c r="D342" s="1"/>
      <c r="F342" s="1"/>
      <c r="X342" s="1"/>
    </row>
    <row r="343" spans="2:24" ht="19.8">
      <c r="B343" s="26"/>
      <c r="C343" s="27"/>
      <c r="D343" s="1"/>
      <c r="F343" s="1"/>
      <c r="X343" s="1"/>
    </row>
    <row r="344" spans="2:24" ht="19.8">
      <c r="B344" s="26"/>
      <c r="C344" s="27"/>
      <c r="D344" s="1"/>
      <c r="F344" s="1"/>
      <c r="X344" s="1"/>
    </row>
    <row r="345" spans="2:24" ht="19.8">
      <c r="B345" s="26"/>
      <c r="C345" s="27"/>
      <c r="D345" s="1"/>
      <c r="F345" s="1"/>
      <c r="X345" s="1"/>
    </row>
    <row r="346" spans="2:24" ht="19.8">
      <c r="B346" s="26"/>
      <c r="C346" s="27"/>
      <c r="D346" s="1"/>
      <c r="F346" s="1"/>
      <c r="X346" s="1"/>
    </row>
    <row r="347" spans="2:24" ht="19.8">
      <c r="B347" s="26"/>
      <c r="C347" s="27"/>
      <c r="D347" s="1"/>
      <c r="F347" s="1"/>
      <c r="X347" s="1"/>
    </row>
    <row r="348" spans="2:24" ht="19.8">
      <c r="B348" s="26"/>
      <c r="C348" s="27"/>
      <c r="D348" s="1"/>
      <c r="F348" s="1"/>
      <c r="X348" s="1"/>
    </row>
    <row r="349" spans="2:24" ht="19.8">
      <c r="B349" s="26"/>
      <c r="C349" s="27"/>
      <c r="D349" s="1"/>
      <c r="F349" s="1"/>
      <c r="X349" s="1"/>
    </row>
    <row r="350" spans="2:24" ht="19.8">
      <c r="B350" s="26"/>
      <c r="C350" s="27"/>
      <c r="D350" s="1"/>
      <c r="F350" s="1"/>
      <c r="X350" s="1"/>
    </row>
    <row r="351" spans="2:24" ht="19.8">
      <c r="B351" s="26"/>
      <c r="C351" s="27"/>
      <c r="D351" s="1"/>
      <c r="F351" s="1"/>
      <c r="X351" s="1"/>
    </row>
    <row r="352" spans="2:24" ht="19.8">
      <c r="B352" s="26"/>
      <c r="C352" s="27"/>
      <c r="D352" s="1"/>
      <c r="F352" s="1"/>
      <c r="X352" s="1"/>
    </row>
    <row r="353" spans="2:24" ht="19.8">
      <c r="B353" s="26"/>
      <c r="C353" s="27"/>
      <c r="D353" s="1"/>
      <c r="F353" s="1"/>
      <c r="X353" s="1"/>
    </row>
    <row r="354" spans="2:24" ht="19.8">
      <c r="B354" s="26"/>
      <c r="C354" s="27"/>
      <c r="D354" s="1"/>
      <c r="F354" s="1"/>
      <c r="X354" s="1"/>
    </row>
    <row r="355" spans="2:24" ht="19.8">
      <c r="B355" s="26"/>
      <c r="C355" s="27"/>
      <c r="D355" s="1"/>
      <c r="F355" s="1"/>
      <c r="X355" s="1"/>
    </row>
    <row r="356" spans="2:24" ht="19.8">
      <c r="B356" s="26"/>
      <c r="C356" s="27"/>
      <c r="D356" s="1"/>
      <c r="F356" s="1"/>
      <c r="X356" s="1"/>
    </row>
    <row r="357" spans="2:24" ht="19.8">
      <c r="B357" s="26"/>
      <c r="C357" s="27"/>
      <c r="D357" s="1"/>
      <c r="F357" s="1"/>
      <c r="X357" s="1"/>
    </row>
    <row r="358" spans="2:24" ht="19.8">
      <c r="B358" s="26"/>
      <c r="C358" s="27"/>
      <c r="D358" s="1"/>
      <c r="F358" s="1"/>
      <c r="X358" s="1"/>
    </row>
    <row r="359" spans="2:24" ht="19.8">
      <c r="B359" s="26"/>
      <c r="C359" s="27"/>
      <c r="D359" s="1"/>
      <c r="F359" s="1"/>
      <c r="X359" s="1"/>
    </row>
    <row r="360" spans="2:24" ht="19.8">
      <c r="B360" s="26"/>
      <c r="C360" s="27"/>
      <c r="D360" s="1"/>
      <c r="F360" s="1"/>
      <c r="X360" s="1"/>
    </row>
    <row r="361" spans="2:24" ht="19.8">
      <c r="B361" s="26"/>
      <c r="C361" s="27"/>
      <c r="D361" s="1"/>
      <c r="F361" s="1"/>
      <c r="X361" s="1"/>
    </row>
    <row r="362" spans="2:24" ht="19.8">
      <c r="B362" s="26"/>
      <c r="C362" s="27"/>
      <c r="D362" s="1"/>
      <c r="F362" s="1"/>
      <c r="X362" s="1"/>
    </row>
    <row r="363" spans="2:24" ht="19.8">
      <c r="B363" s="26"/>
      <c r="C363" s="27"/>
      <c r="D363" s="1"/>
      <c r="F363" s="1"/>
      <c r="X363" s="1"/>
    </row>
    <row r="364" spans="2:24" ht="19.8">
      <c r="B364" s="26"/>
      <c r="C364" s="27"/>
      <c r="D364" s="1"/>
      <c r="F364" s="1"/>
      <c r="X364" s="1"/>
    </row>
    <row r="365" spans="2:24" ht="19.8">
      <c r="B365" s="26"/>
      <c r="C365" s="27"/>
      <c r="D365" s="1"/>
      <c r="F365" s="1"/>
      <c r="X365" s="1"/>
    </row>
    <row r="366" spans="2:24" ht="19.8">
      <c r="B366" s="26"/>
      <c r="C366" s="27"/>
      <c r="D366" s="1"/>
      <c r="F366" s="1"/>
      <c r="X366" s="1"/>
    </row>
    <row r="367" spans="2:24" ht="19.8">
      <c r="B367" s="26"/>
      <c r="C367" s="27"/>
      <c r="D367" s="1"/>
      <c r="F367" s="1"/>
      <c r="X367" s="1"/>
    </row>
    <row r="368" spans="2:24" ht="19.8">
      <c r="B368" s="26"/>
      <c r="C368" s="27"/>
      <c r="D368" s="1"/>
      <c r="F368" s="1"/>
      <c r="X368" s="1"/>
    </row>
    <row r="369" spans="2:24" ht="19.8">
      <c r="B369" s="26"/>
      <c r="C369" s="27"/>
      <c r="D369" s="1"/>
      <c r="F369" s="1"/>
      <c r="X369" s="1"/>
    </row>
    <row r="370" spans="2:24" ht="19.8">
      <c r="B370" s="26"/>
      <c r="C370" s="27"/>
      <c r="D370" s="1"/>
      <c r="F370" s="1"/>
      <c r="X370" s="1"/>
    </row>
    <row r="371" spans="2:24" ht="19.8">
      <c r="B371" s="26"/>
      <c r="C371" s="27"/>
      <c r="D371" s="1"/>
      <c r="F371" s="1"/>
      <c r="X371" s="1"/>
    </row>
    <row r="372" spans="2:24" ht="19.8">
      <c r="B372" s="26"/>
      <c r="C372" s="27"/>
      <c r="D372" s="1"/>
      <c r="F372" s="1"/>
      <c r="X372" s="1"/>
    </row>
    <row r="373" spans="2:24" ht="19.8">
      <c r="B373" s="26"/>
      <c r="C373" s="27"/>
      <c r="D373" s="1"/>
      <c r="F373" s="1"/>
      <c r="X373" s="1"/>
    </row>
    <row r="374" spans="2:24" ht="19.8">
      <c r="B374" s="26"/>
      <c r="C374" s="27"/>
      <c r="D374" s="1"/>
      <c r="F374" s="1"/>
      <c r="X374" s="1"/>
    </row>
    <row r="375" spans="2:24" ht="19.8">
      <c r="B375" s="26"/>
      <c r="C375" s="27"/>
      <c r="D375" s="1"/>
      <c r="F375" s="1"/>
      <c r="X375" s="1"/>
    </row>
    <row r="376" spans="2:24" ht="19.8">
      <c r="B376" s="26"/>
      <c r="C376" s="27"/>
      <c r="D376" s="1"/>
      <c r="F376" s="1"/>
      <c r="X376" s="1"/>
    </row>
    <row r="377" spans="2:24" ht="19.8">
      <c r="B377" s="26"/>
      <c r="C377" s="27"/>
      <c r="D377" s="1"/>
      <c r="F377" s="1"/>
      <c r="X377" s="1"/>
    </row>
    <row r="378" spans="2:24" ht="19.8">
      <c r="B378" s="26"/>
      <c r="C378" s="27"/>
      <c r="D378" s="1"/>
      <c r="F378" s="1"/>
      <c r="X378" s="1"/>
    </row>
    <row r="379" spans="2:24" ht="19.8">
      <c r="B379" s="26"/>
      <c r="C379" s="27"/>
      <c r="D379" s="1"/>
      <c r="F379" s="1"/>
      <c r="X379" s="1"/>
    </row>
    <row r="380" spans="2:24" ht="19.8">
      <c r="B380" s="26"/>
      <c r="C380" s="27"/>
      <c r="D380" s="1"/>
      <c r="F380" s="1"/>
      <c r="X380" s="1"/>
    </row>
    <row r="381" spans="2:24" ht="19.8">
      <c r="B381" s="26"/>
      <c r="C381" s="27"/>
      <c r="D381" s="1"/>
      <c r="F381" s="1"/>
      <c r="X381" s="1"/>
    </row>
    <row r="382" spans="2:24" ht="19.8">
      <c r="B382" s="26"/>
      <c r="C382" s="27"/>
      <c r="D382" s="1"/>
      <c r="F382" s="1"/>
      <c r="X382" s="1"/>
    </row>
    <row r="383" spans="2:24" ht="19.8">
      <c r="B383" s="26"/>
      <c r="C383" s="27"/>
      <c r="D383" s="1"/>
      <c r="F383" s="1"/>
      <c r="X383" s="1"/>
    </row>
    <row r="384" spans="2:24" ht="19.8">
      <c r="B384" s="26"/>
      <c r="C384" s="27"/>
      <c r="D384" s="1"/>
      <c r="F384" s="1"/>
      <c r="X384" s="1"/>
    </row>
    <row r="385" spans="2:24" ht="19.8">
      <c r="B385" s="26"/>
      <c r="C385" s="27"/>
      <c r="D385" s="1"/>
      <c r="F385" s="1"/>
      <c r="X385" s="1"/>
    </row>
    <row r="386" spans="2:24" ht="19.8">
      <c r="B386" s="26"/>
      <c r="C386" s="27"/>
      <c r="D386" s="1"/>
      <c r="F386" s="1"/>
      <c r="X386" s="1"/>
    </row>
    <row r="387" spans="2:24" ht="19.8">
      <c r="B387" s="26"/>
      <c r="C387" s="27"/>
      <c r="D387" s="1"/>
      <c r="F387" s="1"/>
      <c r="X387" s="1"/>
    </row>
    <row r="388" spans="2:24" ht="19.8">
      <c r="B388" s="26"/>
      <c r="C388" s="27"/>
      <c r="D388" s="1"/>
      <c r="F388" s="1"/>
      <c r="X388" s="1"/>
    </row>
    <row r="389" spans="2:24" ht="19.8">
      <c r="B389" s="26"/>
      <c r="C389" s="27"/>
      <c r="D389" s="1"/>
      <c r="F389" s="1"/>
      <c r="X389" s="1"/>
    </row>
    <row r="390" spans="2:24" ht="19.8">
      <c r="B390" s="26"/>
      <c r="C390" s="27"/>
      <c r="D390" s="1"/>
      <c r="F390" s="1"/>
      <c r="X390" s="1"/>
    </row>
    <row r="391" spans="2:24" ht="19.8">
      <c r="B391" s="26"/>
      <c r="C391" s="27"/>
      <c r="D391" s="1"/>
      <c r="F391" s="1"/>
      <c r="X391" s="1"/>
    </row>
    <row r="392" spans="2:24" ht="19.8">
      <c r="B392" s="26"/>
      <c r="C392" s="27"/>
      <c r="D392" s="1"/>
      <c r="F392" s="1"/>
      <c r="X392" s="1"/>
    </row>
    <row r="393" spans="2:24" ht="19.8">
      <c r="B393" s="26"/>
      <c r="C393" s="27"/>
      <c r="D393" s="1"/>
      <c r="F393" s="1"/>
      <c r="X393" s="1"/>
    </row>
    <row r="394" spans="2:24" ht="19.8">
      <c r="B394" s="26"/>
      <c r="C394" s="27"/>
      <c r="D394" s="1"/>
      <c r="F394" s="1"/>
      <c r="X394" s="1"/>
    </row>
    <row r="395" spans="2:24" ht="19.8">
      <c r="B395" s="26"/>
      <c r="C395" s="27"/>
      <c r="D395" s="1"/>
      <c r="F395" s="1"/>
      <c r="X395" s="1"/>
    </row>
    <row r="396" spans="2:24" ht="19.8">
      <c r="B396" s="26"/>
      <c r="C396" s="27"/>
      <c r="D396" s="1"/>
      <c r="F396" s="1"/>
      <c r="X396" s="1"/>
    </row>
    <row r="397" spans="2:24" ht="19.8">
      <c r="B397" s="26"/>
      <c r="C397" s="27"/>
      <c r="D397" s="1"/>
      <c r="F397" s="1"/>
      <c r="X397" s="1"/>
    </row>
    <row r="398" spans="2:24" ht="19.8">
      <c r="B398" s="26"/>
      <c r="C398" s="27"/>
      <c r="D398" s="1"/>
      <c r="F398" s="1"/>
      <c r="X398" s="1"/>
    </row>
    <row r="399" spans="2:24" ht="19.8">
      <c r="B399" s="26"/>
      <c r="C399" s="27"/>
      <c r="D399" s="1"/>
      <c r="F399" s="1"/>
      <c r="X399" s="1"/>
    </row>
    <row r="400" spans="2:24" ht="19.8">
      <c r="B400" s="26"/>
      <c r="C400" s="27"/>
      <c r="D400" s="1"/>
      <c r="F400" s="1"/>
      <c r="X400" s="1"/>
    </row>
    <row r="401" spans="2:24" ht="19.8">
      <c r="B401" s="26"/>
      <c r="C401" s="27"/>
      <c r="D401" s="1"/>
      <c r="F401" s="1"/>
      <c r="X401" s="1"/>
    </row>
    <row r="402" spans="2:24" ht="19.8">
      <c r="B402" s="26"/>
      <c r="C402" s="27"/>
      <c r="D402" s="1"/>
      <c r="F402" s="1"/>
      <c r="X402" s="1"/>
    </row>
    <row r="403" spans="2:24" ht="19.8">
      <c r="B403" s="26"/>
      <c r="C403" s="27"/>
      <c r="D403" s="1"/>
      <c r="F403" s="1"/>
      <c r="X403" s="1"/>
    </row>
    <row r="404" spans="2:24" ht="19.8">
      <c r="B404" s="26"/>
      <c r="C404" s="27"/>
      <c r="D404" s="1"/>
      <c r="F404" s="1"/>
      <c r="X404" s="1"/>
    </row>
    <row r="405" spans="2:24" ht="19.8">
      <c r="B405" s="26"/>
      <c r="C405" s="27"/>
      <c r="D405" s="1"/>
      <c r="F405" s="1"/>
      <c r="X405" s="1"/>
    </row>
    <row r="406" spans="2:24" ht="19.8">
      <c r="B406" s="26"/>
      <c r="C406" s="27"/>
      <c r="D406" s="1"/>
      <c r="F406" s="1"/>
      <c r="X406" s="1"/>
    </row>
    <row r="407" spans="2:24" ht="19.8">
      <c r="B407" s="26"/>
      <c r="C407" s="27"/>
      <c r="D407" s="1"/>
      <c r="F407" s="1"/>
      <c r="X407" s="1"/>
    </row>
    <row r="408" spans="2:24" ht="19.8">
      <c r="B408" s="26"/>
      <c r="C408" s="27"/>
      <c r="D408" s="1"/>
      <c r="F408" s="1"/>
      <c r="X408" s="1"/>
    </row>
    <row r="409" spans="2:24" ht="19.8">
      <c r="B409" s="26"/>
      <c r="C409" s="27"/>
      <c r="D409" s="1"/>
      <c r="F409" s="1"/>
      <c r="X409" s="1"/>
    </row>
    <row r="410" spans="2:24" ht="19.8">
      <c r="B410" s="26"/>
      <c r="C410" s="27"/>
      <c r="D410" s="1"/>
      <c r="F410" s="1"/>
      <c r="X410" s="1"/>
    </row>
    <row r="411" spans="2:24" ht="19.8">
      <c r="B411" s="26"/>
      <c r="C411" s="27"/>
      <c r="D411" s="1"/>
      <c r="F411" s="1"/>
      <c r="X411" s="1"/>
    </row>
    <row r="412" spans="2:24" ht="19.8">
      <c r="B412" s="26"/>
      <c r="C412" s="27"/>
      <c r="D412" s="1"/>
      <c r="F412" s="1"/>
      <c r="X412" s="1"/>
    </row>
    <row r="413" spans="2:24" ht="19.8">
      <c r="B413" s="26"/>
      <c r="C413" s="27"/>
      <c r="D413" s="1"/>
      <c r="F413" s="1"/>
      <c r="X413" s="1"/>
    </row>
    <row r="414" spans="2:24" ht="19.8">
      <c r="B414" s="26"/>
      <c r="C414" s="27"/>
      <c r="D414" s="1"/>
      <c r="F414" s="1"/>
      <c r="X414" s="1"/>
    </row>
    <row r="415" spans="2:24" ht="19.8">
      <c r="B415" s="26"/>
      <c r="C415" s="27"/>
      <c r="D415" s="1"/>
      <c r="F415" s="1"/>
      <c r="X415" s="1"/>
    </row>
    <row r="416" spans="2:24" ht="19.8">
      <c r="B416" s="26"/>
      <c r="C416" s="27"/>
      <c r="D416" s="1"/>
      <c r="F416" s="1"/>
      <c r="X416" s="1"/>
    </row>
    <row r="417" spans="2:24" ht="19.8">
      <c r="B417" s="26"/>
      <c r="C417" s="27"/>
      <c r="D417" s="1"/>
      <c r="F417" s="1"/>
      <c r="X417" s="1"/>
    </row>
    <row r="418" spans="2:24" ht="19.8">
      <c r="B418" s="26"/>
      <c r="C418" s="27"/>
      <c r="D418" s="1"/>
      <c r="F418" s="1"/>
      <c r="X418" s="1"/>
    </row>
    <row r="419" spans="2:24" ht="19.8">
      <c r="B419" s="26"/>
      <c r="C419" s="27"/>
      <c r="D419" s="1"/>
      <c r="F419" s="1"/>
      <c r="X419" s="1"/>
    </row>
    <row r="420" spans="2:24" ht="19.8">
      <c r="B420" s="26"/>
      <c r="C420" s="27"/>
      <c r="D420" s="1"/>
      <c r="F420" s="1"/>
      <c r="X420" s="1"/>
    </row>
    <row r="421" spans="2:24" ht="19.8">
      <c r="B421" s="26"/>
      <c r="C421" s="27"/>
      <c r="D421" s="1"/>
      <c r="F421" s="1"/>
      <c r="X421" s="1"/>
    </row>
    <row r="422" spans="2:24" ht="19.8">
      <c r="B422" s="26"/>
      <c r="C422" s="27"/>
      <c r="D422" s="1"/>
      <c r="F422" s="1"/>
      <c r="X422" s="1"/>
    </row>
    <row r="423" spans="2:24" ht="19.8">
      <c r="B423" s="26"/>
      <c r="C423" s="27"/>
      <c r="D423" s="1"/>
      <c r="F423" s="1"/>
      <c r="X423" s="1"/>
    </row>
    <row r="424" spans="2:24" ht="19.8">
      <c r="B424" s="26"/>
      <c r="C424" s="27"/>
      <c r="D424" s="1"/>
      <c r="F424" s="1"/>
      <c r="X424" s="1"/>
    </row>
    <row r="425" spans="2:24" ht="19.8">
      <c r="B425" s="26"/>
      <c r="C425" s="27"/>
      <c r="D425" s="1"/>
      <c r="F425" s="1"/>
      <c r="X425" s="1"/>
    </row>
    <row r="426" spans="2:24" ht="19.8">
      <c r="B426" s="26"/>
      <c r="C426" s="27"/>
      <c r="D426" s="1"/>
      <c r="F426" s="1"/>
      <c r="X426" s="1"/>
    </row>
    <row r="427" spans="2:24" ht="19.8">
      <c r="B427" s="26"/>
      <c r="C427" s="27"/>
      <c r="D427" s="1"/>
      <c r="F427" s="1"/>
      <c r="X427" s="1"/>
    </row>
    <row r="428" spans="2:24" ht="19.8">
      <c r="B428" s="26"/>
      <c r="C428" s="27"/>
      <c r="D428" s="1"/>
      <c r="F428" s="1"/>
      <c r="X428" s="1"/>
    </row>
    <row r="429" spans="2:24" ht="19.8">
      <c r="B429" s="26"/>
      <c r="C429" s="27"/>
      <c r="D429" s="1"/>
      <c r="F429" s="1"/>
      <c r="X429" s="1"/>
    </row>
    <row r="430" spans="2:24" ht="19.8">
      <c r="B430" s="26"/>
      <c r="C430" s="27"/>
      <c r="D430" s="1"/>
      <c r="F430" s="1"/>
      <c r="X430" s="1"/>
    </row>
    <row r="431" spans="2:24" ht="19.8">
      <c r="B431" s="26"/>
      <c r="C431" s="27"/>
      <c r="D431" s="1"/>
      <c r="F431" s="1"/>
      <c r="X431" s="1"/>
    </row>
    <row r="432" spans="2:24" ht="19.8">
      <c r="B432" s="26"/>
      <c r="C432" s="27"/>
      <c r="D432" s="1"/>
      <c r="F432" s="1"/>
      <c r="X432" s="1"/>
    </row>
    <row r="433" spans="2:24" ht="19.8">
      <c r="B433" s="26"/>
      <c r="C433" s="27"/>
      <c r="D433" s="1"/>
      <c r="F433" s="1"/>
      <c r="X433" s="1"/>
    </row>
    <row r="434" spans="2:24" ht="19.8">
      <c r="B434" s="26"/>
      <c r="C434" s="27"/>
      <c r="D434" s="1"/>
      <c r="F434" s="1"/>
      <c r="X434" s="1"/>
    </row>
    <row r="435" spans="2:24" ht="19.8">
      <c r="B435" s="26"/>
      <c r="C435" s="27"/>
      <c r="D435" s="1"/>
      <c r="F435" s="1"/>
      <c r="X435" s="1"/>
    </row>
    <row r="436" spans="2:24" ht="19.8">
      <c r="B436" s="26"/>
      <c r="C436" s="27"/>
      <c r="D436" s="1"/>
      <c r="F436" s="1"/>
      <c r="X436" s="1"/>
    </row>
    <row r="437" spans="2:24" ht="19.8">
      <c r="B437" s="26"/>
      <c r="C437" s="27"/>
      <c r="D437" s="1"/>
      <c r="F437" s="1"/>
      <c r="X437" s="1"/>
    </row>
    <row r="438" spans="2:24" ht="19.8">
      <c r="B438" s="26"/>
      <c r="C438" s="27"/>
      <c r="D438" s="1"/>
      <c r="F438" s="1"/>
      <c r="X438" s="1"/>
    </row>
    <row r="439" spans="2:24" ht="19.8">
      <c r="B439" s="26"/>
      <c r="C439" s="27"/>
      <c r="D439" s="1"/>
      <c r="F439" s="1"/>
      <c r="X439" s="1"/>
    </row>
    <row r="440" spans="2:24" ht="19.8">
      <c r="B440" s="26"/>
      <c r="C440" s="27"/>
      <c r="D440" s="1"/>
      <c r="F440" s="1"/>
      <c r="X440" s="1"/>
    </row>
    <row r="441" spans="2:24" ht="19.8">
      <c r="B441" s="26"/>
      <c r="C441" s="27"/>
      <c r="D441" s="1"/>
      <c r="F441" s="1"/>
      <c r="X441" s="1"/>
    </row>
    <row r="442" spans="2:24" ht="19.8">
      <c r="B442" s="26"/>
      <c r="C442" s="27"/>
      <c r="D442" s="1"/>
      <c r="F442" s="1"/>
      <c r="X442" s="1"/>
    </row>
    <row r="443" spans="2:24" ht="19.8">
      <c r="B443" s="26"/>
      <c r="C443" s="27"/>
      <c r="D443" s="1"/>
      <c r="F443" s="1"/>
      <c r="X443" s="1"/>
    </row>
    <row r="444" spans="2:24" ht="19.8">
      <c r="B444" s="26"/>
      <c r="C444" s="27"/>
      <c r="D444" s="1"/>
      <c r="F444" s="1"/>
      <c r="X444" s="1"/>
    </row>
    <row r="445" spans="2:24" ht="19.8">
      <c r="B445" s="26"/>
      <c r="C445" s="27"/>
      <c r="D445" s="1"/>
      <c r="F445" s="1"/>
      <c r="X445" s="1"/>
    </row>
    <row r="446" spans="2:24" ht="19.8">
      <c r="B446" s="26"/>
      <c r="C446" s="27"/>
      <c r="D446" s="1"/>
      <c r="F446" s="1"/>
      <c r="X446" s="1"/>
    </row>
    <row r="447" spans="2:24" ht="19.8">
      <c r="B447" s="26"/>
      <c r="C447" s="27"/>
      <c r="D447" s="1"/>
      <c r="F447" s="1"/>
      <c r="X447" s="1"/>
    </row>
    <row r="448" spans="2:24" ht="19.8">
      <c r="B448" s="26"/>
      <c r="C448" s="27"/>
      <c r="D448" s="1"/>
      <c r="F448" s="1"/>
      <c r="X448" s="1"/>
    </row>
    <row r="449" spans="2:24" ht="19.8">
      <c r="B449" s="26"/>
      <c r="C449" s="27"/>
      <c r="D449" s="1"/>
      <c r="F449" s="1"/>
      <c r="X449" s="1"/>
    </row>
    <row r="450" spans="2:24" ht="19.8">
      <c r="B450" s="26"/>
      <c r="C450" s="27"/>
      <c r="D450" s="1"/>
      <c r="F450" s="1"/>
      <c r="X450" s="1"/>
    </row>
    <row r="451" spans="2:24" ht="19.8">
      <c r="B451" s="26"/>
      <c r="C451" s="27"/>
      <c r="D451" s="1"/>
      <c r="F451" s="1"/>
      <c r="X451" s="1"/>
    </row>
    <row r="452" spans="2:24" ht="19.8">
      <c r="B452" s="26"/>
      <c r="C452" s="27"/>
      <c r="D452" s="1"/>
      <c r="F452" s="1"/>
      <c r="X452" s="1"/>
    </row>
    <row r="453" spans="2:24" ht="19.8">
      <c r="B453" s="26"/>
      <c r="C453" s="27"/>
      <c r="D453" s="1"/>
      <c r="F453" s="1"/>
      <c r="X453" s="1"/>
    </row>
    <row r="454" spans="2:24" ht="19.8">
      <c r="B454" s="26"/>
      <c r="C454" s="27"/>
      <c r="D454" s="1"/>
      <c r="F454" s="1"/>
      <c r="X454" s="1"/>
    </row>
    <row r="455" spans="2:24" ht="19.8">
      <c r="B455" s="26"/>
      <c r="C455" s="27"/>
      <c r="D455" s="1"/>
      <c r="F455" s="1"/>
      <c r="X455" s="1"/>
    </row>
    <row r="456" spans="2:24" ht="19.8">
      <c r="B456" s="26"/>
      <c r="C456" s="27"/>
      <c r="D456" s="1"/>
      <c r="F456" s="1"/>
      <c r="X456" s="1"/>
    </row>
    <row r="457" spans="2:24" ht="19.8">
      <c r="B457" s="26"/>
      <c r="C457" s="27"/>
      <c r="D457" s="1"/>
      <c r="F457" s="1"/>
      <c r="X457" s="1"/>
    </row>
    <row r="458" spans="2:24" ht="19.8">
      <c r="B458" s="26"/>
      <c r="C458" s="27"/>
      <c r="D458" s="1"/>
      <c r="F458" s="1"/>
      <c r="X458" s="1"/>
    </row>
    <row r="459" spans="2:24" ht="19.8">
      <c r="B459" s="26"/>
      <c r="C459" s="27"/>
      <c r="D459" s="1"/>
      <c r="F459" s="1"/>
      <c r="X459" s="1"/>
    </row>
    <row r="460" spans="2:24" ht="19.8">
      <c r="B460" s="26"/>
      <c r="C460" s="27"/>
      <c r="D460" s="1"/>
      <c r="F460" s="1"/>
      <c r="X460" s="1"/>
    </row>
    <row r="461" spans="2:24" ht="19.8">
      <c r="B461" s="26"/>
      <c r="C461" s="27"/>
      <c r="D461" s="1"/>
      <c r="F461" s="1"/>
      <c r="X461" s="1"/>
    </row>
    <row r="462" spans="2:24" ht="19.8">
      <c r="B462" s="26"/>
      <c r="C462" s="27"/>
      <c r="D462" s="1"/>
      <c r="F462" s="1"/>
      <c r="X462" s="1"/>
    </row>
    <row r="463" spans="2:24" ht="19.8">
      <c r="B463" s="26"/>
      <c r="C463" s="27"/>
      <c r="D463" s="1"/>
      <c r="F463" s="1"/>
      <c r="X463" s="1"/>
    </row>
    <row r="464" spans="2:24" ht="19.8">
      <c r="B464" s="26"/>
      <c r="C464" s="27"/>
      <c r="D464" s="1"/>
      <c r="F464" s="1"/>
      <c r="X464" s="1"/>
    </row>
    <row r="465" spans="2:24" ht="19.8">
      <c r="B465" s="26"/>
      <c r="C465" s="27"/>
      <c r="D465" s="1"/>
      <c r="F465" s="1"/>
      <c r="X465" s="1"/>
    </row>
    <row r="466" spans="2:24" ht="19.8">
      <c r="B466" s="26"/>
      <c r="C466" s="27"/>
      <c r="D466" s="1"/>
      <c r="F466" s="1"/>
      <c r="X466" s="1"/>
    </row>
    <row r="467" spans="2:24" ht="19.8">
      <c r="B467" s="26"/>
      <c r="C467" s="27"/>
      <c r="D467" s="1"/>
      <c r="F467" s="1"/>
      <c r="X467" s="1"/>
    </row>
    <row r="468" spans="2:24" ht="19.8">
      <c r="B468" s="26"/>
      <c r="C468" s="27"/>
      <c r="D468" s="1"/>
      <c r="F468" s="1"/>
      <c r="X468" s="1"/>
    </row>
    <row r="469" spans="2:24" ht="19.8">
      <c r="B469" s="26"/>
      <c r="C469" s="27"/>
      <c r="D469" s="1"/>
      <c r="F469" s="1"/>
      <c r="X469" s="1"/>
    </row>
    <row r="470" spans="2:24" ht="19.8">
      <c r="B470" s="26"/>
      <c r="C470" s="27"/>
      <c r="D470" s="1"/>
      <c r="F470" s="1"/>
      <c r="X470" s="1"/>
    </row>
    <row r="471" spans="2:24" ht="19.8">
      <c r="B471" s="26"/>
      <c r="C471" s="27"/>
      <c r="D471" s="1"/>
      <c r="F471" s="1"/>
      <c r="X471" s="1"/>
    </row>
    <row r="472" spans="2:24" ht="19.8">
      <c r="B472" s="26"/>
      <c r="C472" s="27"/>
      <c r="D472" s="1"/>
      <c r="F472" s="1"/>
      <c r="X472" s="1"/>
    </row>
    <row r="473" spans="2:24" ht="19.8">
      <c r="B473" s="26"/>
      <c r="C473" s="27"/>
      <c r="D473" s="1"/>
      <c r="F473" s="1"/>
      <c r="X473" s="1"/>
    </row>
    <row r="474" spans="2:24" ht="19.8">
      <c r="B474" s="26"/>
      <c r="C474" s="27"/>
      <c r="D474" s="1"/>
      <c r="F474" s="1"/>
      <c r="X474" s="1"/>
    </row>
    <row r="475" spans="2:24" ht="19.8">
      <c r="B475" s="26"/>
      <c r="C475" s="27"/>
      <c r="D475" s="1"/>
      <c r="F475" s="1"/>
      <c r="X475" s="1"/>
    </row>
    <row r="476" spans="2:24" ht="19.8">
      <c r="B476" s="26"/>
      <c r="C476" s="27"/>
      <c r="D476" s="1"/>
      <c r="F476" s="1"/>
      <c r="X476" s="1"/>
    </row>
    <row r="477" spans="2:24" ht="19.8">
      <c r="B477" s="26"/>
      <c r="C477" s="27"/>
      <c r="D477" s="1"/>
      <c r="F477" s="1"/>
      <c r="X477" s="1"/>
    </row>
    <row r="478" spans="2:24" ht="19.8">
      <c r="B478" s="26"/>
      <c r="C478" s="27"/>
      <c r="D478" s="1"/>
      <c r="F478" s="1"/>
      <c r="X478" s="1"/>
    </row>
    <row r="479" spans="2:24" ht="19.8">
      <c r="B479" s="26"/>
      <c r="C479" s="27"/>
      <c r="D479" s="1"/>
      <c r="F479" s="1"/>
      <c r="X479" s="1"/>
    </row>
    <row r="480" spans="2:24" ht="19.8">
      <c r="B480" s="26"/>
      <c r="C480" s="27"/>
      <c r="D480" s="1"/>
      <c r="F480" s="1"/>
      <c r="X480" s="1"/>
    </row>
    <row r="481" spans="2:24" ht="19.8">
      <c r="B481" s="26"/>
      <c r="C481" s="27"/>
      <c r="D481" s="1"/>
      <c r="F481" s="1"/>
      <c r="X481" s="1"/>
    </row>
    <row r="482" spans="2:24" ht="19.8">
      <c r="B482" s="26"/>
      <c r="C482" s="27"/>
      <c r="D482" s="1"/>
      <c r="F482" s="1"/>
      <c r="X482" s="1"/>
    </row>
    <row r="483" spans="2:24" ht="19.8">
      <c r="B483" s="26"/>
      <c r="C483" s="27"/>
      <c r="D483" s="1"/>
      <c r="F483" s="1"/>
      <c r="X483" s="1"/>
    </row>
    <row r="484" spans="2:24" ht="19.8">
      <c r="B484" s="26"/>
      <c r="C484" s="27"/>
      <c r="D484" s="1"/>
      <c r="F484" s="1"/>
      <c r="X484" s="1"/>
    </row>
    <row r="485" spans="2:24" ht="19.8">
      <c r="B485" s="26"/>
      <c r="C485" s="27"/>
      <c r="D485" s="1"/>
      <c r="F485" s="1"/>
      <c r="X485" s="1"/>
    </row>
    <row r="486" spans="2:24" ht="19.8">
      <c r="B486" s="26"/>
      <c r="C486" s="27"/>
      <c r="D486" s="1"/>
      <c r="F486" s="1"/>
      <c r="X486" s="1"/>
    </row>
    <row r="487" spans="2:24" ht="19.8">
      <c r="B487" s="26"/>
      <c r="C487" s="27"/>
      <c r="D487" s="1"/>
      <c r="F487" s="1"/>
      <c r="X487" s="1"/>
    </row>
    <row r="488" spans="2:24" ht="19.8">
      <c r="B488" s="26"/>
      <c r="C488" s="27"/>
      <c r="D488" s="1"/>
      <c r="F488" s="1"/>
      <c r="X488" s="1"/>
    </row>
    <row r="489" spans="2:24" ht="19.8">
      <c r="B489" s="26"/>
      <c r="C489" s="27"/>
      <c r="D489" s="1"/>
      <c r="F489" s="1"/>
      <c r="X489" s="1"/>
    </row>
    <row r="490" spans="2:24" ht="19.8">
      <c r="B490" s="26"/>
      <c r="C490" s="27"/>
      <c r="D490" s="1"/>
      <c r="F490" s="1"/>
      <c r="X490" s="1"/>
    </row>
    <row r="491" spans="2:24" ht="19.8">
      <c r="B491" s="26"/>
      <c r="C491" s="27"/>
      <c r="D491" s="1"/>
      <c r="F491" s="1"/>
      <c r="X491" s="1"/>
    </row>
    <row r="492" spans="2:24" ht="19.8">
      <c r="B492" s="26"/>
      <c r="C492" s="27"/>
      <c r="D492" s="1"/>
      <c r="F492" s="1"/>
      <c r="X492" s="1"/>
    </row>
    <row r="493" spans="2:24" ht="19.8">
      <c r="B493" s="26"/>
      <c r="C493" s="27"/>
      <c r="D493" s="1"/>
      <c r="F493" s="1"/>
      <c r="X493" s="1"/>
    </row>
    <row r="494" spans="2:24" ht="19.8">
      <c r="B494" s="26"/>
      <c r="C494" s="27"/>
      <c r="D494" s="1"/>
      <c r="F494" s="1"/>
      <c r="X494" s="1"/>
    </row>
    <row r="495" spans="2:24" ht="19.8">
      <c r="B495" s="26"/>
      <c r="C495" s="27"/>
      <c r="D495" s="1"/>
      <c r="F495" s="1"/>
      <c r="X495" s="1"/>
    </row>
    <row r="496" spans="2:24" ht="19.8">
      <c r="B496" s="26"/>
      <c r="C496" s="27"/>
      <c r="D496" s="1"/>
      <c r="F496" s="1"/>
      <c r="X496" s="1"/>
    </row>
    <row r="497" spans="2:24" ht="19.8">
      <c r="B497" s="26"/>
      <c r="C497" s="27"/>
      <c r="D497" s="1"/>
      <c r="F497" s="1"/>
      <c r="X497" s="1"/>
    </row>
    <row r="498" spans="2:24" ht="19.8">
      <c r="B498" s="26"/>
      <c r="C498" s="27"/>
      <c r="D498" s="1"/>
      <c r="F498" s="1"/>
      <c r="X498" s="1"/>
    </row>
    <row r="499" spans="2:24" ht="19.8">
      <c r="B499" s="26"/>
      <c r="C499" s="27"/>
      <c r="D499" s="1"/>
      <c r="F499" s="1"/>
      <c r="X499" s="1"/>
    </row>
    <row r="500" spans="2:24" ht="19.8">
      <c r="B500" s="26"/>
      <c r="C500" s="27"/>
      <c r="D500" s="1"/>
      <c r="F500" s="1"/>
      <c r="X500" s="1"/>
    </row>
    <row r="501" spans="2:24" ht="19.8">
      <c r="B501" s="26"/>
      <c r="C501" s="27"/>
      <c r="D501" s="1"/>
      <c r="F501" s="1"/>
      <c r="X501" s="1"/>
    </row>
    <row r="502" spans="2:24" ht="19.8">
      <c r="B502" s="26"/>
      <c r="C502" s="27"/>
      <c r="D502" s="1"/>
      <c r="F502" s="1"/>
      <c r="X502" s="1"/>
    </row>
    <row r="503" spans="2:24" ht="19.8">
      <c r="B503" s="26"/>
      <c r="C503" s="27"/>
      <c r="D503" s="1"/>
      <c r="F503" s="1"/>
      <c r="X503" s="1"/>
    </row>
    <row r="504" spans="2:24" ht="19.8">
      <c r="B504" s="26"/>
      <c r="C504" s="27"/>
      <c r="D504" s="1"/>
      <c r="F504" s="1"/>
      <c r="X504" s="1"/>
    </row>
    <row r="505" spans="2:24" ht="19.8">
      <c r="B505" s="26"/>
      <c r="C505" s="27"/>
      <c r="D505" s="1"/>
      <c r="F505" s="1"/>
      <c r="X505" s="1"/>
    </row>
    <row r="506" spans="2:24" ht="19.8">
      <c r="B506" s="26"/>
      <c r="C506" s="27"/>
      <c r="D506" s="1"/>
      <c r="F506" s="1"/>
      <c r="X506" s="1"/>
    </row>
    <row r="507" spans="2:24" ht="19.8">
      <c r="B507" s="26"/>
      <c r="C507" s="27"/>
      <c r="D507" s="1"/>
      <c r="F507" s="1"/>
      <c r="X507" s="1"/>
    </row>
    <row r="508" spans="2:24" ht="19.8">
      <c r="B508" s="26"/>
      <c r="C508" s="27"/>
      <c r="D508" s="1"/>
      <c r="F508" s="1"/>
      <c r="X508" s="1"/>
    </row>
    <row r="509" spans="2:24" ht="19.8">
      <c r="B509" s="26"/>
      <c r="C509" s="27"/>
      <c r="D509" s="1"/>
      <c r="F509" s="1"/>
      <c r="X509" s="1"/>
    </row>
    <row r="510" spans="2:24" ht="19.8">
      <c r="B510" s="26"/>
      <c r="C510" s="27"/>
      <c r="D510" s="1"/>
      <c r="F510" s="1"/>
      <c r="X510" s="1"/>
    </row>
    <row r="511" spans="2:24" ht="19.8">
      <c r="B511" s="26"/>
      <c r="C511" s="27"/>
      <c r="D511" s="1"/>
      <c r="F511" s="1"/>
      <c r="X511" s="1"/>
    </row>
    <row r="512" spans="2:24" ht="19.8">
      <c r="B512" s="26"/>
      <c r="C512" s="27"/>
      <c r="D512" s="1"/>
      <c r="F512" s="1"/>
      <c r="X512" s="1"/>
    </row>
    <row r="513" spans="2:24" ht="19.8">
      <c r="B513" s="26"/>
      <c r="C513" s="27"/>
      <c r="D513" s="1"/>
      <c r="F513" s="1"/>
      <c r="X513" s="1"/>
    </row>
    <row r="514" spans="2:24" ht="19.8">
      <c r="B514" s="26"/>
      <c r="C514" s="27"/>
      <c r="D514" s="1"/>
      <c r="F514" s="1"/>
      <c r="X514" s="1"/>
    </row>
    <row r="515" spans="2:24" ht="19.8">
      <c r="B515" s="26"/>
      <c r="C515" s="27"/>
      <c r="D515" s="1"/>
      <c r="F515" s="1"/>
      <c r="X515" s="1"/>
    </row>
    <row r="516" spans="2:24" ht="19.8">
      <c r="B516" s="26"/>
      <c r="C516" s="27"/>
      <c r="D516" s="1"/>
      <c r="F516" s="1"/>
      <c r="X516" s="1"/>
    </row>
    <row r="517" spans="2:24" ht="19.8">
      <c r="B517" s="26"/>
      <c r="C517" s="27"/>
      <c r="D517" s="1"/>
      <c r="F517" s="1"/>
      <c r="X517" s="1"/>
    </row>
    <row r="518" spans="2:24" ht="19.8">
      <c r="B518" s="26"/>
      <c r="C518" s="27"/>
      <c r="D518" s="1"/>
      <c r="F518" s="1"/>
      <c r="X518" s="1"/>
    </row>
    <row r="519" spans="2:24" ht="19.8">
      <c r="B519" s="26"/>
      <c r="C519" s="27"/>
      <c r="D519" s="1"/>
      <c r="F519" s="1"/>
      <c r="X519" s="1"/>
    </row>
    <row r="520" spans="2:24" ht="19.8">
      <c r="B520" s="26"/>
      <c r="C520" s="27"/>
      <c r="D520" s="1"/>
      <c r="F520" s="1"/>
      <c r="X520" s="1"/>
    </row>
    <row r="521" spans="2:24" ht="19.8">
      <c r="B521" s="26"/>
      <c r="C521" s="27"/>
      <c r="D521" s="1"/>
      <c r="F521" s="1"/>
      <c r="X521" s="1"/>
    </row>
  </sheetData>
  <conditionalFormatting sqref="H2:P2">
    <cfRule type="cellIs" dxfId="6" priority="2" operator="lessThan">
      <formula>3</formula>
    </cfRule>
    <cfRule type="cellIs" dxfId="5" priority="3" operator="lessThan">
      <formula>5</formula>
    </cfRule>
  </conditionalFormatting>
  <conditionalFormatting sqref="Q2">
    <cfRule type="cellIs" dxfId="4" priority="4" operator="between">
      <formula>4</formula>
      <formula>5</formula>
    </cfRule>
    <cfRule type="cellIs" dxfId="3" priority="6" operator="between">
      <formula>3.5</formula>
      <formula>4</formula>
    </cfRule>
    <cfRule type="cellIs" dxfId="2" priority="7" operator="lessThanOrEqual">
      <formula>3.5</formula>
    </cfRule>
  </conditionalFormatting>
  <conditionalFormatting sqref="X2">
    <cfRule type="cellIs" dxfId="1" priority="5" operator="lessThan">
      <formula>5</formula>
    </cfRule>
  </conditionalFormatting>
  <conditionalFormatting sqref="Y2">
    <cfRule type="containsText" dxfId="0" priority="1" operator="containsText" text="CĐ">
      <formula>NOT(ISERROR(SEARCH(("CĐ"),(Y2))))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Trung  Hiếu</dc:creator>
  <cp:lastModifiedBy>Dương Trung  Hiếu</cp:lastModifiedBy>
  <dcterms:created xsi:type="dcterms:W3CDTF">2026-04-10T04:13:51Z</dcterms:created>
  <dcterms:modified xsi:type="dcterms:W3CDTF">2026-04-13T06:21:38Z</dcterms:modified>
</cp:coreProperties>
</file>